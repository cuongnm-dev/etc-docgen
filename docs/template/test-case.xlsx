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mc:AlternateContent xmlns:mc="http://schemas.openxmlformats.org/markup-compatibility/2006">
    <mc:Choice Requires="x15">
      <x15ac:absPath xmlns:x15ac="http://schemas.microsoft.com/office/spreadsheetml/2010/11/ac" url="C:\Users\Admin\Downloads\ETC_Biểu mẫu gửi OS\"/>
    </mc:Choice>
  </mc:AlternateContent>
  <xr:revisionPtr revIDLastSave="56" documentId="13_ncr:1_{84CEED17-D858-4B42-8EAA-80CA9586A60D}" xr6:coauthVersionLast="47" xr6:coauthVersionMax="47" xr10:uidLastSave="{22819D0C-832E-4F61-B1DF-A1B77643FCC6}"/>
  <bookViews>
    <workbookView xWindow="57480" yWindow="-120" windowWidth="29040" windowHeight="15720" firstSheet="3" activeTab="4" xr2:uid="{00000000-000D-0000-FFFF-FFFF00000000}"/>
  </bookViews>
  <sheets>
    <sheet name="Cover" sheetId="11" r:id="rId1"/>
    <sheet name="Overview" sheetId="1" r:id="rId2"/>
    <sheet name="Test Result" sheetId="2" r:id="rId3"/>
    <sheet name="Tên chức năng" sheetId="3" r:id="rId4"/>
    <sheet name="Tên API" sheetId="10" r:id="rId5"/>
  </sheets>
  <externalReferences>
    <externalReference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_xlnm.Print_Area" localSheetId="0">Cover!$A$1:$H$32</definedName>
    <definedName name="_xlnm.Print_Area" localSheetId="1">Overview!$A$1:$H$36</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0" l="1"/>
  <c r="L6" i="10"/>
  <c r="K6" i="10"/>
  <c r="J6" i="10"/>
  <c r="I6" i="10"/>
  <c r="G7" i="3"/>
  <c r="F7" i="3"/>
  <c r="E7" i="3"/>
  <c r="D7" i="3"/>
  <c r="B7" i="3"/>
  <c r="C7" i="3"/>
  <c r="A7" i="3"/>
  <c r="I6" i="3"/>
  <c r="K6" i="3"/>
  <c r="J6" i="3"/>
  <c r="A15" i="10"/>
  <c r="A14" i="10"/>
  <c r="M7" i="10"/>
  <c r="L7" i="10"/>
  <c r="K7" i="10"/>
  <c r="J7" i="10"/>
  <c r="I7" i="10"/>
  <c r="G7" i="10"/>
  <c r="C15" i="2" s="1"/>
  <c r="F7" i="10"/>
  <c r="I15" i="2" s="1"/>
  <c r="E7" i="10"/>
  <c r="H15" i="2" s="1"/>
  <c r="D7" i="10"/>
  <c r="G15" i="2" s="1"/>
  <c r="C7" i="10"/>
  <c r="F15" i="2" s="1"/>
  <c r="B7" i="10"/>
  <c r="E15" i="2" s="1"/>
  <c r="A7" i="10"/>
  <c r="D15" i="2" s="1"/>
  <c r="G8" i="10" l="1"/>
  <c r="I14" i="2" l="1"/>
  <c r="I18" i="2" s="1"/>
  <c r="H14" i="2"/>
  <c r="H18" i="2" s="1"/>
  <c r="G14" i="2"/>
  <c r="G18" i="2" s="1"/>
  <c r="F14" i="2"/>
  <c r="F18" i="2" s="1"/>
  <c r="E14" i="2"/>
  <c r="E18" i="2" s="1"/>
  <c r="C14" i="2"/>
  <c r="C18" i="2" s="1"/>
  <c r="A30" i="3"/>
  <c r="A29" i="3"/>
  <c r="A31" i="3"/>
  <c r="A34" i="3"/>
  <c r="A33" i="3"/>
  <c r="A26" i="3"/>
  <c r="A25" i="3"/>
  <c r="A27" i="3"/>
  <c r="A23" i="3"/>
  <c r="A22" i="3"/>
  <c r="A21" i="3"/>
  <c r="A20" i="3"/>
  <c r="A18" i="3"/>
  <c r="A17" i="3"/>
  <c r="A16" i="3"/>
  <c r="A15" i="3"/>
  <c r="A11" i="3"/>
  <c r="M7" i="3"/>
  <c r="L7" i="3"/>
  <c r="K7" i="3"/>
  <c r="J7" i="3"/>
  <c r="I7" i="3"/>
  <c r="M6" i="3"/>
  <c r="L6" i="3"/>
  <c r="G8" i="3" l="1"/>
  <c r="D14" i="2"/>
  <c r="D18" i="2" s="1"/>
</calcChain>
</file>

<file path=xl/sharedStrings.xml><?xml version="1.0" encoding="utf-8"?>
<sst xmlns="http://schemas.openxmlformats.org/spreadsheetml/2006/main" count="287" uniqueCount="188">
  <si>
    <t>BIỂU MẪU TESTCASE</t>
  </si>
  <si>
    <t>Code:</t>
  </si>
  <si>
    <t>BM.QT.04.04</t>
  </si>
  <si>
    <t>Version:</t>
  </si>
  <si>
    <t>Purpose &amp; scope</t>
  </si>
  <si>
    <r>
      <rPr>
        <b/>
        <sz val="13"/>
        <color rgb="FF000000"/>
        <rFont val="Times New Roman"/>
        <family val="1"/>
      </rPr>
      <t xml:space="preserve">Mục đích:
</t>
    </r>
    <r>
      <rPr>
        <sz val="13"/>
        <color rgb="FF000000"/>
        <rFont val="Times New Roman"/>
        <family val="1"/>
      </rPr>
      <t xml:space="preserve">-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t>
    </r>
    <r>
      <rPr>
        <b/>
        <sz val="13"/>
        <color rgb="FF000000"/>
        <rFont val="Times New Roman"/>
        <family val="1"/>
      </rPr>
      <t xml:space="preserve">Phạm vi: 
</t>
    </r>
    <r>
      <rPr>
        <sz val="13"/>
        <color rgb="FF000000"/>
        <rFont val="Times New Roman"/>
        <family val="1"/>
      </rPr>
      <t>- Tất cả các dự án phát triển thuộc Trung tâm Phát triển phần mềm.</t>
    </r>
  </si>
  <si>
    <t>Table of contents</t>
  </si>
  <si>
    <t>No.</t>
  </si>
  <si>
    <t>Main Content</t>
  </si>
  <si>
    <t>Reference</t>
  </si>
  <si>
    <t>Overview</t>
  </si>
  <si>
    <t>Test Result</t>
  </si>
  <si>
    <t>Tên chức năng</t>
  </si>
  <si>
    <t>Tên API</t>
  </si>
  <si>
    <t>History of change</t>
  </si>
  <si>
    <t>Date release</t>
  </si>
  <si>
    <t>Version</t>
  </si>
  <si>
    <t>Description</t>
  </si>
  <si>
    <t>Place of change</t>
  </si>
  <si>
    <t>Author</t>
  </si>
  <si>
    <t>Reviewer</t>
  </si>
  <si>
    <t>&lt;dd/mm/yyyy&gt;</t>
  </si>
  <si>
    <t>&lt;x.y&gt;</t>
  </si>
  <si>
    <t>&lt;Mô tả thay đổi&gt;</t>
  </si>
  <si>
    <t>&lt;Mô tả vị trí đã thay đổi&gt;</t>
  </si>
  <si>
    <t>&lt;Tên tác giả&gt;</t>
  </si>
  <si>
    <t>&lt;Tên người review&gt;</t>
  </si>
  <si>
    <t>Tạo  mới</t>
  </si>
  <si>
    <t>HoaiNTT</t>
  </si>
  <si>
    <t>HangNTT</t>
  </si>
  <si>
    <t>Definition</t>
  </si>
  <si>
    <t>Terminology or Acronym</t>
  </si>
  <si>
    <t>Note</t>
  </si>
  <si>
    <t>&lt;Tên Thuật ngữ và từ viết tắt&gt;</t>
  </si>
  <si>
    <t>&lt;Giải thích&gt;</t>
  </si>
  <si>
    <t>&lt;Ghi chú đặc biệt khi sử dụng&gt;</t>
  </si>
  <si>
    <t>Document name</t>
  </si>
  <si>
    <t>Link</t>
  </si>
  <si>
    <t>&lt;STT&gt;</t>
  </si>
  <si>
    <t>&lt;Tên tài liệu&gt;</t>
  </si>
  <si>
    <t>&lt;Đường Link đến tài liệu&gt;</t>
  </si>
  <si>
    <t>OVERVIEW</t>
  </si>
  <si>
    <t xml:space="preserve">         </t>
  </si>
  <si>
    <t>THÔNG TIN DỰ ÁN</t>
  </si>
  <si>
    <t xml:space="preserve"> Tên dự án:  </t>
  </si>
  <si>
    <t xml:space="preserve"> Mã dự án:  </t>
  </si>
  <si>
    <t xml:space="preserve"> Phiên bản:  </t>
  </si>
  <si>
    <t xml:space="preserve"> Khách hàng:  </t>
  </si>
  <si>
    <t xml:space="preserve">Khái quát về dự án:  </t>
  </si>
  <si>
    <t xml:space="preserve">Công nghệ sử dụng:  </t>
  </si>
  <si>
    <t>LỊCH SỬ THAY ĐỔI</t>
  </si>
  <si>
    <t>Ngày hiệu lực</t>
  </si>
  <si>
    <t>Phiên bản</t>
  </si>
  <si>
    <t>Mô tả</t>
  </si>
  <si>
    <t>Lý do thay đổi</t>
  </si>
  <si>
    <t>Người thực hiện</t>
  </si>
  <si>
    <t>&lt;Mô tả lý do thay đổi&gt;</t>
  </si>
  <si>
    <t>&lt;Người thay đổi&gt;</t>
  </si>
  <si>
    <t xml:space="preserve"> </t>
  </si>
  <si>
    <t>ĐỊNH NGHĨA CHUNG</t>
  </si>
  <si>
    <t>Trạng thái Test case</t>
  </si>
  <si>
    <r>
      <t>Pass:</t>
    </r>
    <r>
      <rPr>
        <sz val="13"/>
        <color rgb="FF000000"/>
        <rFont val="Times New Roman"/>
        <family val="1"/>
      </rPr>
      <t xml:space="preserve"> Khi kết thực tế đúng với kết quả mong muốn</t>
    </r>
  </si>
  <si>
    <r>
      <t>Fail:</t>
    </r>
    <r>
      <rPr>
        <sz val="13"/>
        <color rgb="FF000000"/>
        <rFont val="Times New Roman"/>
        <family val="1"/>
      </rPr>
      <t xml:space="preserve"> Khi kết thực tế không đúng với kết quả mong muốn</t>
    </r>
  </si>
  <si>
    <r>
      <t xml:space="preserve">N/A: </t>
    </r>
    <r>
      <rPr>
        <sz val="13"/>
        <color theme="1"/>
        <rFont val="Times New Roman"/>
        <family val="1"/>
      </rPr>
      <t>Không thực hiện test</t>
    </r>
  </si>
  <si>
    <t>Mức độ nghiêm trọng</t>
  </si>
  <si>
    <r>
      <rPr>
        <b/>
        <sz val="13"/>
        <color rgb="FF000000"/>
        <rFont val="Times New Roman"/>
      </rPr>
      <t xml:space="preserve">Critical: </t>
    </r>
    <r>
      <rPr>
        <sz val="13"/>
        <color rgb="FF000000"/>
        <rFont val="Times New Roman"/>
      </rPr>
      <t xml:space="preserve">Hệ thống không thể hoạt động hoặc chức năng chính bị tê liệt hoàn toàn. Không có giải pháp thay thế. Ảnh hưởng trực tiếp tới nghiệp vụ lõi hoặc gây gián đoạn vận hành.	</t>
    </r>
  </si>
  <si>
    <r>
      <rPr>
        <b/>
        <sz val="13"/>
        <color rgb="FF000000"/>
        <rFont val="Times New Roman"/>
      </rPr>
      <t>Major:</t>
    </r>
    <r>
      <rPr>
        <sz val="13"/>
        <color rgb="FF000000"/>
        <rFont val="Times New Roman"/>
      </rPr>
      <t xml:space="preserve"> Chức năng quan trọng hoạt động sai hoặc không đầy đủ. Có thể có giải pháp thay thế nhưng gây khó khăn lớn cho người dùng hoặc ảnh hưởng đáng kể đến nghiệp vụ.</t>
    </r>
  </si>
  <si>
    <r>
      <rPr>
        <b/>
        <sz val="13"/>
        <color rgb="FF000000"/>
        <rFont val="Times New Roman"/>
      </rPr>
      <t>Normal:</t>
    </r>
    <r>
      <rPr>
        <sz val="13"/>
        <color rgb="FF000000"/>
        <rFont val="Times New Roman"/>
      </rPr>
      <t xml:space="preserve"> Lỗi ảnh hưởng một phần chức năng, không chặn luồng nghiệp vụ chính. Có giải pháp chấp nhận được.</t>
    </r>
  </si>
  <si>
    <r>
      <rPr>
        <b/>
        <sz val="13"/>
        <color rgb="FF000000"/>
        <rFont val="Times New Roman"/>
      </rPr>
      <t xml:space="preserve">Minor: </t>
    </r>
    <r>
      <rPr>
        <sz val="13"/>
        <color rgb="FF000000"/>
        <rFont val="Times New Roman"/>
      </rPr>
      <t xml:space="preserve">Lỗi nhỏ về hiển thị, thông báo, logic phụ. Không ảnh hưởng đến nghiệp vụ chính.	</t>
    </r>
  </si>
  <si>
    <t>Trạng thái lỗi</t>
  </si>
  <si>
    <r>
      <rPr>
        <b/>
        <sz val="13"/>
        <color theme="1"/>
        <rFont val="Times New Roman"/>
        <family val="1"/>
      </rPr>
      <t>Open:</t>
    </r>
    <r>
      <rPr>
        <sz val="13"/>
        <color theme="1"/>
        <rFont val="Times New Roman"/>
        <family val="1"/>
      </rPr>
      <t xml:space="preserve"> Khi lỗi vừa được phát hiện</t>
    </r>
  </si>
  <si>
    <r>
      <t>Re-Open:</t>
    </r>
    <r>
      <rPr>
        <sz val="13"/>
        <color theme="1"/>
        <rFont val="Times New Roman"/>
        <family val="1"/>
      </rPr>
      <t xml:space="preserve"> Khi tester test lại mà lỗi đó vẫn tồn tại</t>
    </r>
  </si>
  <si>
    <r>
      <t>Closed:</t>
    </r>
    <r>
      <rPr>
        <sz val="13"/>
        <color theme="1"/>
        <rFont val="Times New Roman"/>
        <family val="1"/>
      </rPr>
      <t xml:space="preserve"> Khi tester test lại và không phát sinh lỗi</t>
    </r>
  </si>
  <si>
    <r>
      <t>Unconfirm:</t>
    </r>
    <r>
      <rPr>
        <sz val="13"/>
        <color theme="1"/>
        <rFont val="Times New Roman"/>
        <family val="1"/>
      </rPr>
      <t xml:space="preserve"> Tester phát hiện hiện tượng bất thường, chưa đủ cơ sở khẳng định là lỗi.
Cần trao đổi với Dev/BA để xác nhận</t>
    </r>
  </si>
  <si>
    <r>
      <t>Resolved:</t>
    </r>
    <r>
      <rPr>
        <sz val="13"/>
        <rFont val="Times New Roman"/>
        <family val="1"/>
      </rPr>
      <t xml:space="preserve"> Lập trình fix lỗi và chuyển trạng thái lỗi "OPEN -&gt; RESOLVED"</t>
    </r>
  </si>
  <si>
    <t xml:space="preserve">BÁO CÁO KẾT QUẢ TEST </t>
  </si>
  <si>
    <t>Tên dự án</t>
  </si>
  <si>
    <t>Mã dự án</t>
  </si>
  <si>
    <t>Môi trường kiểm tra</t>
  </si>
  <si>
    <t>Mobile - Web</t>
  </si>
  <si>
    <t xml:space="preserve">Version tổng hợp kết quả </t>
  </si>
  <si>
    <t>v x.x</t>
  </si>
  <si>
    <t>Tài liệu SRS/ URD</t>
  </si>
  <si>
    <t>Liệt kê tài liệu hoặc link để làm tài liệu testcase cho dự án</t>
  </si>
  <si>
    <t xml:space="preserve">Người thực hiện </t>
  </si>
  <si>
    <t>Tester</t>
  </si>
  <si>
    <t xml:space="preserve">Thời gian thực hiện </t>
  </si>
  <si>
    <t>dd/mm/yyyy - dd/mm/yyyy</t>
  </si>
  <si>
    <t>1. KẾT QUẢ TEST</t>
  </si>
  <si>
    <t>STT</t>
  </si>
  <si>
    <t>Chức năng</t>
  </si>
  <si>
    <t>Số test case</t>
  </si>
  <si>
    <t>Test lần 1</t>
  </si>
  <si>
    <t>Test lần 2</t>
  </si>
  <si>
    <t xml:space="preserve">Ghi chú/ Lý do </t>
  </si>
  <si>
    <t>Pass</t>
  </si>
  <si>
    <t>Fail</t>
  </si>
  <si>
    <t>N/A</t>
  </si>
  <si>
    <t>Tên hàm</t>
  </si>
  <si>
    <t>TỔNG</t>
  </si>
  <si>
    <t xml:space="preserve">2. Phân Loại Lỗi </t>
  </si>
  <si>
    <t xml:space="preserve">Phân loại lỗi theo severity </t>
  </si>
  <si>
    <t>Critical</t>
  </si>
  <si>
    <t>Major</t>
  </si>
  <si>
    <t>Normal</t>
  </si>
  <si>
    <t>Minor</t>
  </si>
  <si>
    <r>
      <t>Mọi trạng thái</t>
    </r>
    <r>
      <rPr>
        <i/>
        <sz val="13"/>
        <rFont val="Times New Roman"/>
        <family val="1"/>
      </rPr>
      <t xml:space="preserve"> (không tính lỗi Cancelled)</t>
    </r>
  </si>
  <si>
    <t>Test requirement</t>
  </si>
  <si>
    <t>Người thực hiện test</t>
  </si>
  <si>
    <t>Ngày thực hiện</t>
  </si>
  <si>
    <t>dd/mm/yyyy</t>
  </si>
  <si>
    <t>Test No 1</t>
  </si>
  <si>
    <t>Test No 2</t>
  </si>
  <si>
    <t>Status/Lần test</t>
  </si>
  <si>
    <t>Open</t>
  </si>
  <si>
    <t>Re-Open</t>
  </si>
  <si>
    <t>Closed</t>
  </si>
  <si>
    <t>Unconfirm</t>
  </si>
  <si>
    <t>Resolved</t>
  </si>
  <si>
    <t>Tổng số testcase</t>
  </si>
  <si>
    <t>Mã TC</t>
  </si>
  <si>
    <t>Mục đích</t>
  </si>
  <si>
    <t xml:space="preserve">Các bước thực hiện </t>
  </si>
  <si>
    <t xml:space="preserve">Kết quả mong muốn </t>
  </si>
  <si>
    <t>Kiểm tra mã lỗi ( checklog)</t>
  </si>
  <si>
    <t>Chuyển hướng màn hình</t>
  </si>
  <si>
    <t>ID Bug</t>
  </si>
  <si>
    <t>Kết quả lần 1</t>
  </si>
  <si>
    <t>Kết quả lần 2</t>
  </si>
  <si>
    <t>Ghi chú</t>
  </si>
  <si>
    <t>Kết quả</t>
  </si>
  <si>
    <t>Trạng thái</t>
  </si>
  <si>
    <t>Kiểm tra điều hướng</t>
  </si>
  <si>
    <t>Click button Hủy/ icon X</t>
  </si>
  <si>
    <t>Quay lại màn danh sách VMS</t>
  </si>
  <si>
    <t>Tạo mới VMS</t>
  </si>
  <si>
    <t xml:space="preserve">1. Kiểm tra giao diện
Điều kiện:
- Đăng nhập link hệ thống :
- Login với username/ pass: </t>
  </si>
  <si>
    <t>Kiểm tra all items màn hình thêm mới</t>
  </si>
  <si>
    <t>Kiểm tra tên của all items</t>
  </si>
  <si>
    <t>Kiểm tra tên của các mục hiển thị trên màn hình</t>
  </si>
  <si>
    <t xml:space="preserve">- Tên của all items được hiển thị tất cả thông tin như tài liệu mô tả.
- Không bị sai lệch, ghi đè các mục trên màn hình </t>
  </si>
  <si>
    <t>#53</t>
  </si>
  <si>
    <t>Kiểm tra số items hiển thị trên màn hình</t>
  </si>
  <si>
    <t>Số lượng các items hiển thị đủ trên màn hình</t>
  </si>
  <si>
    <t>Kiểm tra vị trí hiển thị của all items</t>
  </si>
  <si>
    <t>Vị trí các items được hiển thị giống như design</t>
  </si>
  <si>
    <t>Kiểm tra font type, font size, font color, icons..của all items</t>
  </si>
  <si>
    <t>Kiểm tra font type, font size, font color, icons...của all items</t>
  </si>
  <si>
    <t>- Font type, Font size, Font color... giống như design</t>
  </si>
  <si>
    <t>Kiểm tra loại items trên màn hình thêm mới</t>
  </si>
  <si>
    <t>Kiểm tra title</t>
  </si>
  <si>
    <t>1. Kiểm tra hiển thị</t>
  </si>
  <si>
    <t>Hiển thị title "Thêm mới VMS"</t>
  </si>
  <si>
    <t>Kiểm tra button Lưu</t>
  </si>
  <si>
    <t>Mặc định: Enable button</t>
  </si>
  <si>
    <t>Kiểm tra button Hủy</t>
  </si>
  <si>
    <t>Kiểm tra icon X</t>
  </si>
  <si>
    <t>Kiểm tra Thông tin VMS</t>
  </si>
  <si>
    <t>Kiểm tra Loại hình MVS</t>
  </si>
  <si>
    <t>Mặc định hiển thị dữ liệu trống</t>
  </si>
  <si>
    <t>2. Click vào dropdown list</t>
  </si>
  <si>
    <t>Hiển thị các giá trị
1. Kiểu chữ
2. Kiểu hình ảnh
3. Kiểu video
4. Không xác định</t>
  </si>
  <si>
    <t>3. Chọn giá trị từ Droplist</t>
  </si>
  <si>
    <t>Hiển thị giá trị vừa chọn</t>
  </si>
  <si>
    <t xml:space="preserve">2. Kiểm tra validate 
Điều kiện:
- Đăng nhập link hệ thống :
- Login với username/ pass: </t>
  </si>
  <si>
    <t>Kiểm ra Loại hình VMS hợp lệ</t>
  </si>
  <si>
    <t>Chọn giá trị trong dropdown list</t>
  </si>
  <si>
    <t>Kiểm ra Loại hình VMS không hợp lệ</t>
  </si>
  <si>
    <t>Không chọn giá trị trong dropdown list</t>
  </si>
  <si>
    <t>Hiển thị thông báo lỗi và focus đỏ vào trường lỗi</t>
  </si>
  <si>
    <t>Kiểm ra Kích thước hợp lệ</t>
  </si>
  <si>
    <t xml:space="preserve">3. Kiểm tra chức năng
Điều kiện:
- Đăng nhập link hệ thống :
- Login với username/ pass: </t>
  </si>
  <si>
    <t>Kiểm tra Thêm mới thành công</t>
  </si>
  <si>
    <t>1. Nhập các trường hợp lệ
2. Click vào button Lưu</t>
  </si>
  <si>
    <t>- Hiển thị popup thêm mới thành công
- Hiển thị bản ghi ở đầu danh sách
- Lưu thông tin của VMS vào CSDL</t>
  </si>
  <si>
    <t>Kiểm tra Thêm mới thất bại</t>
  </si>
  <si>
    <t>1. Nhập các trường ko hợp lệ
2. Click vào button Lưu</t>
  </si>
  <si>
    <t>Hiển thị thông báo lỗi và focus vào trường lỗi</t>
  </si>
  <si>
    <t>Kiểm tra hàm [tên hàm]</t>
  </si>
  <si>
    <t xml:space="preserve">Kiểm tra chức năng LKNH trực tiếp thành công 
Điều kiện:
- User đăng nhập thành công vào app ví 
- Đã xác thực ví thành công 
- Đã LKNH trực tiếp </t>
  </si>
  <si>
    <t>DATA REQUEST
{
    "merchantCode": "string",
    "timeRequest": "string",
    "transType": "string",
    "data": "string",
    "signature": "string"
}</t>
  </si>
  <si>
    <t>DATA RESPONSE
{
    "signature": "String",
    "data": "String",
    "merchantCode": "String",
    "transType": "String",
    "errorCode": number,
    "errorDesc": "String.",
    "timeResponse": "String"
}</t>
  </si>
  <si>
    <t xml:space="preserve">1. Luồng LK NH thành công </t>
  </si>
  <si>
    <t xml:space="preserve">Kiểm tra với các giá trị hợp lệ </t>
  </si>
  <si>
    <t>Thực hiện call API</t>
  </si>
  <si>
    <t>" ""errorCode"": 200,
 ""errorDesc"": ""Successful."","</t>
  </si>
  <si>
    <t>Kiểm tra trường hợp truyền thiếu giá trị bắt buộc</t>
  </si>
  <si>
    <t>"ErrorCode"":110,""
ErrorMessage"":""MISSING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</si>
</sst>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m/d/yyyy;@"/>
  </numFmts>
  <fonts count="42">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scheme val="minor"/>
    </font>
    <font>
      <sz val="11"/>
      <color theme="1"/>
      <name val="Times New Roman"/>
      <family val="1"/>
    </font>
    <font>
      <u/>
      <sz val="11"/>
      <color theme="10"/>
      <name val="Calibri"/>
      <family val="2"/>
      <scheme val="minor"/>
    </font>
    <font>
      <sz val="11"/>
      <color rgb="FFFFFFFF"/>
      <name val="Times New Roman"/>
      <family val="1"/>
    </font>
    <font>
      <sz val="11"/>
      <color rgb="FF000000"/>
      <name val="Times New Roman"/>
      <family val="1"/>
    </font>
    <font>
      <sz val="11"/>
      <name val="ＭＳ Ｐゴシック"/>
      <charset val="128"/>
    </font>
    <font>
      <b/>
      <sz val="13"/>
      <color theme="1"/>
      <name val="Times New Roman"/>
      <family val="1"/>
    </font>
    <font>
      <i/>
      <sz val="13"/>
      <color theme="1"/>
      <name val="Times New Roman"/>
      <family val="1"/>
    </font>
    <font>
      <sz val="13"/>
      <name val="Times New Roman"/>
      <family val="1"/>
    </font>
    <font>
      <sz val="13"/>
      <color theme="1"/>
      <name val="Times New Roman"/>
      <family val="1"/>
    </font>
    <font>
      <b/>
      <sz val="13"/>
      <color rgb="FFFFFFFF"/>
      <name val="Times New Roman"/>
      <family val="1"/>
    </font>
    <font>
      <sz val="13"/>
      <color rgb="FFFFFFFF"/>
      <name val="Times New Roman"/>
      <family val="1"/>
    </font>
    <font>
      <b/>
      <sz val="13"/>
      <color rgb="FF444444"/>
      <name val="Times New Roman"/>
      <family val="1"/>
    </font>
    <font>
      <sz val="13"/>
      <color rgb="FF000000"/>
      <name val="Times New Roman"/>
      <family val="1"/>
    </font>
    <font>
      <sz val="13"/>
      <color rgb="FF000000"/>
      <name val="&quot;Times New Roman&quot;"/>
    </font>
    <font>
      <u/>
      <sz val="13"/>
      <color theme="10"/>
      <name val="Calibri"/>
      <family val="2"/>
      <scheme val="minor"/>
    </font>
    <font>
      <b/>
      <sz val="13"/>
      <color rgb="FF000000"/>
      <name val="&quot;Times New Roman&quot;"/>
    </font>
    <font>
      <b/>
      <i/>
      <sz val="13"/>
      <color rgb="FF444444"/>
      <name val="Times New Roman"/>
      <family val="1"/>
    </font>
    <font>
      <b/>
      <sz val="13"/>
      <color rgb="FF000000"/>
      <name val="Times New Roman"/>
      <family val="1"/>
    </font>
    <font>
      <b/>
      <i/>
      <sz val="13"/>
      <color rgb="FF000000"/>
      <name val="Times New Roman"/>
      <family val="1"/>
    </font>
    <font>
      <sz val="13"/>
      <color rgb="FF444444"/>
      <name val="Times New Roman"/>
      <family val="1"/>
    </font>
    <font>
      <sz val="13"/>
      <color rgb="FF000000"/>
      <name val="Calibri"/>
      <family val="2"/>
      <scheme val="minor"/>
    </font>
    <font>
      <b/>
      <sz val="13"/>
      <color rgb="FFFF0000"/>
      <name val="Times New Roman"/>
      <family val="1"/>
    </font>
    <font>
      <b/>
      <sz val="13"/>
      <color rgb="FF993300"/>
      <name val="Times New Roman"/>
      <family val="1"/>
    </font>
    <font>
      <i/>
      <sz val="13"/>
      <color theme="6" tint="-0.249977111117893"/>
      <name val="Times New Roman"/>
      <family val="1"/>
    </font>
    <font>
      <b/>
      <sz val="13"/>
      <name val="Times New Roman"/>
      <family val="1"/>
    </font>
    <font>
      <b/>
      <i/>
      <sz val="13"/>
      <name val="Times New Roman"/>
      <family val="1"/>
    </font>
    <font>
      <i/>
      <sz val="13"/>
      <name val="Times New Roman"/>
      <family val="1"/>
    </font>
    <font>
      <i/>
      <sz val="13"/>
      <color theme="2" tint="-0.749992370372631"/>
      <name val="Times New Roman"/>
      <family val="1"/>
    </font>
    <font>
      <b/>
      <sz val="13"/>
      <color rgb="FF0066CC"/>
      <name val="Times New Roman"/>
      <family val="1"/>
    </font>
    <font>
      <b/>
      <sz val="13"/>
      <color theme="0"/>
      <name val="Times New Roman"/>
      <family val="1"/>
    </font>
    <font>
      <b/>
      <sz val="13"/>
      <color rgb="FF0070C0"/>
      <name val="Times New Roman"/>
      <family val="1"/>
    </font>
    <font>
      <b/>
      <sz val="13"/>
      <color rgb="FF0000FF"/>
      <name val="Times New Roman"/>
      <family val="1"/>
    </font>
    <font>
      <i/>
      <sz val="13"/>
      <color rgb="FF0000FF"/>
      <name val="Times New Roman"/>
      <family val="1"/>
    </font>
    <font>
      <u/>
      <sz val="13"/>
      <color rgb="FF1155CC"/>
      <name val="Times New Roman"/>
      <family val="1"/>
    </font>
    <font>
      <i/>
      <sz val="13"/>
      <color rgb="FF0033CC"/>
      <name val="Times New Roman"/>
      <family val="1"/>
    </font>
    <font>
      <sz val="13"/>
      <color theme="0"/>
      <name val="Times New Roman"/>
      <family val="1"/>
    </font>
    <font>
      <b/>
      <sz val="13"/>
      <color rgb="FF000000"/>
      <name val="Times New Roman"/>
    </font>
    <font>
      <sz val="13"/>
      <color rgb="FF000000"/>
      <name val="Times New Roman"/>
    </font>
  </fonts>
  <fills count="22">
    <fill>
      <patternFill patternType="none"/>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FF99"/>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5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1"/>
      </top>
      <bottom style="medium">
        <color theme="0" tint="-0.14996795556505021"/>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s>
  <cellStyleXfs count="7">
    <xf numFmtId="0" fontId="0" fillId="0" borderId="0"/>
    <xf numFmtId="0" fontId="3" fillId="0" borderId="0"/>
    <xf numFmtId="0" fontId="5" fillId="0" borderId="0" applyNumberFormat="0" applyFill="0" applyBorder="0" applyAlignment="0" applyProtection="0"/>
    <xf numFmtId="0" fontId="1" fillId="0" borderId="18" applyFill="0">
      <alignment horizontal="left" vertical="center" indent="2"/>
    </xf>
    <xf numFmtId="0" fontId="8" fillId="0" borderId="0"/>
    <xf numFmtId="0" fontId="2" fillId="0" borderId="0" applyNumberFormat="0" applyFill="0" applyBorder="0" applyAlignment="0" applyProtection="0"/>
    <xf numFmtId="0" fontId="1" fillId="0" borderId="0"/>
  </cellStyleXfs>
  <cellXfs count="271">
    <xf numFmtId="0" fontId="0" fillId="0" borderId="0" xfId="0"/>
    <xf numFmtId="0" fontId="4"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wrapText="1"/>
    </xf>
    <xf numFmtId="0" fontId="7" fillId="0" borderId="0" xfId="0" applyFont="1"/>
    <xf numFmtId="0" fontId="7" fillId="0" borderId="0" xfId="0" applyFont="1" applyAlignment="1">
      <alignment wrapText="1"/>
    </xf>
    <xf numFmtId="0" fontId="7" fillId="0" borderId="0" xfId="0" applyFont="1" applyAlignment="1">
      <alignment vertical="center" wrapText="1"/>
    </xf>
    <xf numFmtId="0" fontId="7" fillId="8" borderId="0" xfId="0" applyFont="1" applyFill="1" applyAlignment="1">
      <alignment horizontal="left" vertical="center"/>
    </xf>
    <xf numFmtId="0" fontId="9" fillId="4" borderId="36" xfId="0" applyFont="1" applyFill="1" applyBorder="1" applyAlignment="1">
      <alignment horizontal="left" vertical="center" wrapText="1"/>
    </xf>
    <xf numFmtId="0" fontId="10" fillId="4" borderId="0" xfId="0" applyFont="1" applyFill="1" applyAlignment="1">
      <alignment horizontal="left" vertical="center" wrapText="1"/>
    </xf>
    <xf numFmtId="0" fontId="12" fillId="0" borderId="0" xfId="0" applyFont="1" applyAlignment="1">
      <alignment horizontal="center" vertical="center"/>
    </xf>
    <xf numFmtId="0" fontId="12" fillId="0" borderId="0" xfId="0" applyFont="1" applyAlignment="1">
      <alignment vertical="center"/>
    </xf>
    <xf numFmtId="0" fontId="9" fillId="4" borderId="40" xfId="0" applyFont="1" applyFill="1" applyBorder="1" applyAlignment="1">
      <alignment horizontal="left" vertical="center" wrapText="1"/>
    </xf>
    <xf numFmtId="0" fontId="9" fillId="4" borderId="42" xfId="0" applyFont="1" applyFill="1" applyBorder="1" applyAlignment="1">
      <alignment horizontal="left" vertical="center" wrapText="1"/>
    </xf>
    <xf numFmtId="0" fontId="10" fillId="4" borderId="0" xfId="0" applyFont="1" applyFill="1" applyAlignment="1">
      <alignment horizontal="center" vertical="center" wrapText="1"/>
    </xf>
    <xf numFmtId="0" fontId="9" fillId="4" borderId="44" xfId="0" applyFont="1" applyFill="1" applyBorder="1" applyAlignment="1">
      <alignment horizontal="left" vertical="center" wrapText="1"/>
    </xf>
    <xf numFmtId="0" fontId="10" fillId="4" borderId="24" xfId="0" applyFont="1" applyFill="1" applyBorder="1" applyAlignment="1">
      <alignment horizontal="center" vertical="center" wrapText="1"/>
    </xf>
    <xf numFmtId="0" fontId="9" fillId="4" borderId="20" xfId="0" applyFont="1" applyFill="1" applyBorder="1" applyAlignment="1">
      <alignment horizontal="center" vertical="center" wrapText="1"/>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4" borderId="27" xfId="0" applyFont="1" applyFill="1" applyBorder="1" applyAlignment="1">
      <alignment horizontal="center" vertical="center"/>
    </xf>
    <xf numFmtId="0" fontId="9" fillId="4" borderId="28"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4" borderId="21" xfId="0" applyFont="1" applyFill="1" applyBorder="1" applyAlignment="1">
      <alignment horizontal="center" vertical="center" wrapText="1"/>
    </xf>
    <xf numFmtId="0" fontId="12" fillId="0" borderId="12" xfId="0" applyFont="1" applyBorder="1" applyAlignment="1">
      <alignment horizontal="center" vertical="center"/>
    </xf>
    <xf numFmtId="0" fontId="12" fillId="0" borderId="29" xfId="0" applyFont="1" applyBorder="1" applyAlignment="1">
      <alignment horizontal="center" vertical="center"/>
    </xf>
    <xf numFmtId="0" fontId="12" fillId="4" borderId="30" xfId="0" applyFont="1" applyFill="1" applyBorder="1" applyAlignment="1">
      <alignment horizontal="center" vertical="center"/>
    </xf>
    <xf numFmtId="0" fontId="12" fillId="4" borderId="31" xfId="0" applyFont="1" applyFill="1" applyBorder="1" applyAlignment="1">
      <alignment horizontal="center" vertical="center"/>
    </xf>
    <xf numFmtId="0" fontId="12" fillId="4" borderId="32"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3" fillId="18" borderId="11" xfId="0" applyFont="1" applyFill="1" applyBorder="1" applyAlignment="1">
      <alignment horizontal="center" vertical="center" wrapText="1"/>
    </xf>
    <xf numFmtId="0" fontId="16" fillId="0" borderId="11" xfId="0" applyFont="1" applyBorder="1" applyAlignment="1">
      <alignment vertical="center" wrapText="1"/>
    </xf>
    <xf numFmtId="0" fontId="12" fillId="0" borderId="11" xfId="0" applyFont="1" applyBorder="1" applyAlignment="1">
      <alignment vertical="center" wrapText="1"/>
    </xf>
    <xf numFmtId="0" fontId="12" fillId="0" borderId="11" xfId="0" quotePrefix="1" applyFont="1" applyBorder="1" applyAlignment="1">
      <alignment vertical="center" wrapText="1"/>
    </xf>
    <xf numFmtId="0" fontId="17" fillId="0" borderId="11" xfId="0" applyFont="1" applyBorder="1" applyAlignment="1">
      <alignment vertical="center" wrapText="1"/>
    </xf>
    <xf numFmtId="0" fontId="18" fillId="14" borderId="0" xfId="2" applyFont="1" applyFill="1" applyAlignment="1">
      <alignment wrapText="1"/>
    </xf>
    <xf numFmtId="0" fontId="11" fillId="0" borderId="12" xfId="0" applyFont="1" applyBorder="1" applyAlignment="1">
      <alignment horizontal="center" vertical="center"/>
    </xf>
    <xf numFmtId="0" fontId="19" fillId="0" borderId="11" xfId="0" applyFont="1" applyBorder="1" applyAlignment="1">
      <alignment horizontal="center" vertical="center" wrapText="1"/>
    </xf>
    <xf numFmtId="0" fontId="16" fillId="0" borderId="11" xfId="0" applyFont="1" applyBorder="1" applyAlignment="1">
      <alignment horizontal="left" vertical="center" wrapText="1"/>
    </xf>
    <xf numFmtId="0" fontId="12" fillId="4" borderId="11" xfId="0" applyFont="1" applyFill="1" applyBorder="1" applyAlignment="1">
      <alignment horizontal="left" vertical="center" wrapText="1"/>
    </xf>
    <xf numFmtId="0" fontId="12" fillId="0" borderId="11" xfId="0" applyFont="1" applyBorder="1" applyAlignment="1">
      <alignment horizontal="left" vertical="center" wrapText="1"/>
    </xf>
    <xf numFmtId="0" fontId="16" fillId="0" borderId="11" xfId="0" applyFont="1" applyBorder="1"/>
    <xf numFmtId="0" fontId="16" fillId="0" borderId="11" xfId="0" quotePrefix="1" applyFont="1" applyBorder="1" applyAlignment="1">
      <alignment vertical="center" wrapText="1"/>
    </xf>
    <xf numFmtId="0" fontId="21" fillId="0" borderId="11" xfId="0" applyFont="1" applyBorder="1" applyAlignment="1">
      <alignment vertical="center" wrapText="1"/>
    </xf>
    <xf numFmtId="0" fontId="16" fillId="0" borderId="11" xfId="0" applyFont="1" applyBorder="1" applyAlignment="1">
      <alignment wrapText="1"/>
    </xf>
    <xf numFmtId="0" fontId="17" fillId="0" borderId="11" xfId="0" applyFont="1" applyBorder="1" applyAlignment="1">
      <alignment wrapText="1"/>
    </xf>
    <xf numFmtId="0" fontId="19" fillId="0" borderId="11" xfId="0" applyFont="1" applyBorder="1" applyAlignment="1">
      <alignment wrapText="1"/>
    </xf>
    <xf numFmtId="0" fontId="21" fillId="0" borderId="11" xfId="0" applyFont="1" applyBorder="1" applyAlignment="1">
      <alignment wrapText="1"/>
    </xf>
    <xf numFmtId="0" fontId="19" fillId="0" borderId="11" xfId="0" applyFont="1" applyBorder="1" applyAlignment="1">
      <alignment vertical="center" wrapText="1"/>
    </xf>
    <xf numFmtId="0" fontId="16" fillId="0" borderId="11" xfId="0" quotePrefix="1" applyFont="1" applyBorder="1" applyAlignment="1">
      <alignment wrapText="1"/>
    </xf>
    <xf numFmtId="0" fontId="12" fillId="0" borderId="11" xfId="0" quotePrefix="1" applyFont="1" applyBorder="1" applyAlignment="1">
      <alignment horizontal="left" vertical="center" wrapText="1"/>
    </xf>
    <xf numFmtId="0" fontId="21" fillId="0" borderId="11" xfId="0" applyFont="1" applyBorder="1" applyAlignment="1">
      <alignment horizontal="left" vertical="center" wrapText="1"/>
    </xf>
    <xf numFmtId="0" fontId="9" fillId="0" borderId="11" xfId="0" applyFont="1" applyBorder="1" applyAlignment="1">
      <alignment horizontal="left" vertical="center" wrapText="1"/>
    </xf>
    <xf numFmtId="0" fontId="23" fillId="8" borderId="12" xfId="0" applyFont="1" applyFill="1" applyBorder="1" applyAlignment="1">
      <alignment horizontal="left" vertical="center" wrapText="1"/>
    </xf>
    <xf numFmtId="0" fontId="12" fillId="0" borderId="23" xfId="0" applyFont="1" applyBorder="1" applyAlignment="1">
      <alignment vertical="center"/>
    </xf>
    <xf numFmtId="0" fontId="24" fillId="0" borderId="11" xfId="4" applyFont="1" applyBorder="1" applyAlignment="1">
      <alignment horizontal="left" vertical="center" wrapText="1"/>
    </xf>
    <xf numFmtId="0" fontId="21" fillId="0" borderId="11" xfId="0" applyFont="1" applyBorder="1" applyAlignment="1">
      <alignment horizontal="center" vertical="center" wrapText="1"/>
    </xf>
    <xf numFmtId="0" fontId="9" fillId="4" borderId="11" xfId="0" applyFont="1" applyFill="1" applyBorder="1" applyAlignment="1">
      <alignment horizontal="left" vertical="center" wrapText="1"/>
    </xf>
    <xf numFmtId="0" fontId="9" fillId="4" borderId="19" xfId="0" applyFont="1" applyFill="1" applyBorder="1" applyAlignment="1">
      <alignment horizontal="left" vertical="center" wrapText="1"/>
    </xf>
    <xf numFmtId="0" fontId="9"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9" fillId="0" borderId="11" xfId="0" applyFont="1" applyBorder="1" applyAlignment="1">
      <alignment horizontal="center" vertical="center"/>
    </xf>
    <xf numFmtId="0" fontId="9" fillId="4" borderId="11" xfId="0" applyFont="1" applyFill="1" applyBorder="1" applyAlignment="1">
      <alignment horizontal="center" vertical="center"/>
    </xf>
    <xf numFmtId="0" fontId="12" fillId="0" borderId="11" xfId="0" applyFont="1" applyBorder="1" applyAlignment="1">
      <alignment horizontal="center" vertical="center"/>
    </xf>
    <xf numFmtId="0" fontId="12" fillId="4" borderId="11" xfId="0" applyFont="1" applyFill="1" applyBorder="1" applyAlignment="1">
      <alignment horizontal="center" vertical="center"/>
    </xf>
    <xf numFmtId="0" fontId="12" fillId="4" borderId="11" xfId="0" applyFont="1" applyFill="1" applyBorder="1" applyAlignment="1">
      <alignment horizontal="center" vertical="center" wrapText="1"/>
    </xf>
    <xf numFmtId="0" fontId="12" fillId="0" borderId="0" xfId="0" applyFont="1"/>
    <xf numFmtId="1" fontId="12" fillId="4" borderId="0" xfId="0" applyNumberFormat="1" applyFont="1" applyFill="1" applyAlignment="1">
      <alignment horizontal="center"/>
    </xf>
    <xf numFmtId="0" fontId="12" fillId="4" borderId="0" xfId="0" applyFont="1" applyFill="1" applyAlignment="1">
      <alignment horizontal="left"/>
    </xf>
    <xf numFmtId="0" fontId="25" fillId="4" borderId="0" xfId="0" applyFont="1" applyFill="1" applyAlignment="1">
      <alignment horizontal="left"/>
    </xf>
    <xf numFmtId="1" fontId="26" fillId="4" borderId="0" xfId="0" applyNumberFormat="1" applyFont="1" applyFill="1" applyAlignment="1">
      <alignment horizontal="center"/>
    </xf>
    <xf numFmtId="0" fontId="12" fillId="4" borderId="0" xfId="0" applyFont="1" applyFill="1"/>
    <xf numFmtId="0" fontId="13" fillId="19" borderId="11" xfId="0" applyFont="1" applyFill="1" applyBorder="1" applyAlignment="1">
      <alignment horizontal="center" vertical="center"/>
    </xf>
    <xf numFmtId="1" fontId="12" fillId="4" borderId="8" xfId="0" applyNumberFormat="1" applyFont="1" applyFill="1" applyBorder="1" applyAlignment="1">
      <alignment horizontal="center" vertical="center"/>
    </xf>
    <xf numFmtId="0" fontId="12" fillId="8" borderId="12" xfId="3" applyFont="1" applyFill="1" applyBorder="1" applyAlignment="1">
      <alignment horizontal="left" vertical="top" wrapText="1" indent="2"/>
    </xf>
    <xf numFmtId="0" fontId="11" fillId="0" borderId="10" xfId="2" applyFont="1" applyBorder="1" applyAlignment="1">
      <alignment horizontal="center" vertical="center"/>
    </xf>
    <xf numFmtId="0" fontId="11" fillId="0" borderId="11" xfId="2" applyFont="1" applyBorder="1" applyAlignment="1">
      <alignment horizontal="center" vertical="center"/>
    </xf>
    <xf numFmtId="0" fontId="12" fillId="0" borderId="11" xfId="0" applyFont="1" applyBorder="1" applyAlignment="1">
      <alignment wrapText="1"/>
    </xf>
    <xf numFmtId="0" fontId="11" fillId="4" borderId="11" xfId="2" applyFont="1" applyFill="1" applyBorder="1" applyAlignment="1">
      <alignment horizontal="center" vertical="center"/>
    </xf>
    <xf numFmtId="0" fontId="9" fillId="0" borderId="13" xfId="0" applyFont="1" applyBorder="1" applyAlignment="1">
      <alignment horizontal="center" vertical="center" wrapText="1"/>
    </xf>
    <xf numFmtId="0" fontId="12" fillId="0" borderId="11" xfId="0" applyFont="1" applyBorder="1"/>
    <xf numFmtId="0" fontId="12" fillId="0" borderId="0" xfId="0" applyFont="1" applyAlignment="1">
      <alignment horizontal="center" vertical="center" wrapText="1"/>
    </xf>
    <xf numFmtId="1" fontId="12" fillId="0" borderId="0" xfId="0" applyNumberFormat="1" applyFont="1" applyAlignment="1">
      <alignment horizontal="center" vertical="center" wrapText="1"/>
    </xf>
    <xf numFmtId="0" fontId="29" fillId="6" borderId="11" xfId="0" applyFont="1" applyFill="1" applyBorder="1" applyAlignment="1">
      <alignment horizontal="center" vertical="center"/>
    </xf>
    <xf numFmtId="0" fontId="28" fillId="7" borderId="11" xfId="0" applyFont="1" applyFill="1" applyBorder="1" applyAlignment="1">
      <alignment horizontal="center" vertical="center"/>
    </xf>
    <xf numFmtId="0" fontId="12" fillId="0" borderId="0" xfId="0" applyFont="1" applyAlignment="1">
      <alignment horizontal="center"/>
    </xf>
    <xf numFmtId="0" fontId="11" fillId="0" borderId="2" xfId="0" applyFont="1" applyBorder="1"/>
    <xf numFmtId="0" fontId="11" fillId="0" borderId="0" xfId="1" applyFont="1"/>
    <xf numFmtId="0" fontId="32" fillId="2" borderId="0" xfId="1" applyFont="1" applyFill="1" applyAlignment="1">
      <alignment vertical="center"/>
    </xf>
    <xf numFmtId="0" fontId="12" fillId="2" borderId="0" xfId="1" applyFont="1" applyFill="1"/>
    <xf numFmtId="0" fontId="12" fillId="0" borderId="0" xfId="1" applyFont="1"/>
    <xf numFmtId="0" fontId="12" fillId="3" borderId="0" xfId="1" applyFont="1" applyFill="1"/>
    <xf numFmtId="0" fontId="9" fillId="3" borderId="0" xfId="1" applyFont="1" applyFill="1" applyAlignment="1">
      <alignment horizontal="center" vertical="center"/>
    </xf>
    <xf numFmtId="0" fontId="12" fillId="3" borderId="0" xfId="1" applyFont="1" applyFill="1" applyAlignment="1">
      <alignment horizontal="center" vertical="center"/>
    </xf>
    <xf numFmtId="0" fontId="12" fillId="3" borderId="0" xfId="1" applyFont="1" applyFill="1" applyAlignment="1">
      <alignment horizontal="center"/>
    </xf>
    <xf numFmtId="0" fontId="9" fillId="0" borderId="55" xfId="1" applyFont="1" applyBorder="1" applyAlignment="1">
      <alignment horizontal="center" vertical="center"/>
    </xf>
    <xf numFmtId="14" fontId="12" fillId="0" borderId="55" xfId="1" applyNumberFormat="1" applyFont="1" applyBorder="1" applyAlignment="1">
      <alignment horizontal="center" vertical="center" wrapText="1"/>
    </xf>
    <xf numFmtId="0" fontId="35" fillId="0" borderId="55" xfId="1" applyFont="1" applyBorder="1" applyAlignment="1">
      <alignment horizontal="center" vertical="center"/>
    </xf>
    <xf numFmtId="164" fontId="12" fillId="0" borderId="55" xfId="1" applyNumberFormat="1" applyFont="1" applyBorder="1" applyAlignment="1">
      <alignment horizontal="center" vertical="center" wrapText="1"/>
    </xf>
    <xf numFmtId="0" fontId="21" fillId="0" borderId="11" xfId="6" applyFont="1" applyBorder="1" applyAlignment="1">
      <alignment vertical="center"/>
    </xf>
    <xf numFmtId="0" fontId="16" fillId="0" borderId="11" xfId="6" applyFont="1" applyBorder="1" applyAlignment="1">
      <alignment vertical="center"/>
    </xf>
    <xf numFmtId="165" fontId="16" fillId="0" borderId="11" xfId="6" applyNumberFormat="1" applyFont="1" applyBorder="1" applyAlignment="1">
      <alignment horizontal="center" vertical="center"/>
    </xf>
    <xf numFmtId="0" fontId="36" fillId="0" borderId="55" xfId="6" applyFont="1" applyBorder="1" applyAlignment="1">
      <alignment horizontal="center"/>
    </xf>
    <xf numFmtId="0" fontId="21" fillId="0" borderId="10" xfId="6" applyFont="1" applyBorder="1"/>
    <xf numFmtId="0" fontId="16" fillId="0" borderId="0" xfId="6" applyFont="1"/>
    <xf numFmtId="0" fontId="12" fillId="0" borderId="0" xfId="6" applyFont="1"/>
    <xf numFmtId="0" fontId="21" fillId="0" borderId="11" xfId="6" applyFont="1" applyBorder="1"/>
    <xf numFmtId="0" fontId="21" fillId="15" borderId="11" xfId="6" applyFont="1" applyFill="1" applyBorder="1" applyAlignment="1">
      <alignment horizontal="center"/>
    </xf>
    <xf numFmtId="0" fontId="16" fillId="0" borderId="11" xfId="6" applyFont="1" applyBorder="1" applyAlignment="1">
      <alignment horizontal="center" vertical="top"/>
    </xf>
    <xf numFmtId="0" fontId="16" fillId="0" borderId="11" xfId="6" applyFont="1" applyBorder="1" applyAlignment="1">
      <alignment vertical="top"/>
    </xf>
    <xf numFmtId="0" fontId="21" fillId="16" borderId="11" xfId="6" applyFont="1" applyFill="1" applyBorder="1" applyAlignment="1">
      <alignment horizontal="center"/>
    </xf>
    <xf numFmtId="0" fontId="36" fillId="0" borderId="11" xfId="6" applyFont="1" applyBorder="1" applyAlignment="1">
      <alignment horizontal="center"/>
    </xf>
    <xf numFmtId="166" fontId="16" fillId="0" borderId="11" xfId="6" applyNumberFormat="1" applyFont="1" applyBorder="1" applyAlignment="1">
      <alignment horizontal="center" vertical="center"/>
    </xf>
    <xf numFmtId="165" fontId="16" fillId="0" borderId="0" xfId="6" applyNumberFormat="1" applyFont="1" applyAlignment="1">
      <alignment vertical="center"/>
    </xf>
    <xf numFmtId="165" fontId="12" fillId="0" borderId="0" xfId="6" applyNumberFormat="1" applyFont="1" applyAlignment="1">
      <alignment vertical="center"/>
    </xf>
    <xf numFmtId="0" fontId="38" fillId="0" borderId="11" xfId="6" applyFont="1" applyBorder="1" applyAlignment="1">
      <alignment horizontal="center"/>
    </xf>
    <xf numFmtId="1" fontId="28" fillId="4" borderId="1" xfId="0" applyNumberFormat="1" applyFont="1" applyFill="1" applyBorder="1"/>
    <xf numFmtId="0" fontId="16" fillId="0" borderId="11" xfId="6" applyFont="1" applyBorder="1" applyAlignment="1">
      <alignment horizontal="center"/>
    </xf>
    <xf numFmtId="0" fontId="36" fillId="0" borderId="8" xfId="6" applyFont="1" applyBorder="1" applyAlignment="1">
      <alignment horizontal="center"/>
    </xf>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applyAlignment="1">
      <alignment horizontal="center"/>
    </xf>
    <xf numFmtId="0" fontId="11" fillId="0" borderId="11" xfId="6" applyFont="1" applyBorder="1" applyAlignment="1">
      <alignment horizontal="left"/>
    </xf>
    <xf numFmtId="0" fontId="36" fillId="0" borderId="11" xfId="6" applyFont="1" applyBorder="1" applyAlignment="1">
      <alignment horizontal="left"/>
    </xf>
    <xf numFmtId="0" fontId="16" fillId="0" borderId="11" xfId="6" applyFont="1" applyBorder="1" applyAlignment="1">
      <alignment horizontal="center" vertical="top"/>
    </xf>
    <xf numFmtId="0" fontId="16" fillId="0" borderId="11" xfId="6" applyFont="1" applyBorder="1" applyAlignment="1">
      <alignment vertical="top"/>
    </xf>
    <xf numFmtId="0" fontId="13" fillId="17" borderId="11" xfId="6" applyFont="1" applyFill="1" applyBorder="1" applyAlignment="1">
      <alignment horizontal="center"/>
    </xf>
    <xf numFmtId="0" fontId="21" fillId="16" borderId="11" xfId="6" applyFont="1" applyFill="1" applyBorder="1" applyAlignment="1">
      <alignment horizontal="center"/>
    </xf>
    <xf numFmtId="0" fontId="36" fillId="0" borderId="11" xfId="6" applyFont="1" applyBorder="1" applyAlignment="1">
      <alignment vertical="top"/>
    </xf>
    <xf numFmtId="165" fontId="16" fillId="0" borderId="11" xfId="6" applyNumberFormat="1" applyFont="1" applyBorder="1" applyAlignment="1">
      <alignment vertical="center" wrapText="1"/>
    </xf>
    <xf numFmtId="0" fontId="16" fillId="0" borderId="11" xfId="6" applyFont="1" applyBorder="1" applyAlignment="1">
      <alignment vertical="top" wrapText="1"/>
    </xf>
    <xf numFmtId="0" fontId="37" fillId="0" borderId="11" xfId="6" applyFont="1" applyBorder="1" applyAlignment="1">
      <alignment vertical="top"/>
    </xf>
    <xf numFmtId="0" fontId="21" fillId="15" borderId="11" xfId="6" applyFont="1" applyFill="1" applyBorder="1" applyAlignment="1">
      <alignment horizontal="center"/>
    </xf>
    <xf numFmtId="0" fontId="16" fillId="0" borderId="11" xfId="6" applyFont="1" applyBorder="1" applyAlignment="1">
      <alignment horizontal="center"/>
    </xf>
    <xf numFmtId="0" fontId="13" fillId="17" borderId="14" xfId="6" applyFont="1" applyFill="1" applyBorder="1" applyAlignment="1">
      <alignment horizontal="center" vertical="center" wrapText="1"/>
    </xf>
    <xf numFmtId="0" fontId="13" fillId="17" borderId="48" xfId="6" applyFont="1" applyFill="1" applyBorder="1" applyAlignment="1">
      <alignment horizontal="center" vertical="center" wrapText="1"/>
    </xf>
    <xf numFmtId="0" fontId="13" fillId="17" borderId="34" xfId="6" applyFont="1" applyFill="1" applyBorder="1" applyAlignment="1">
      <alignment horizontal="center" vertical="center" wrapText="1"/>
    </xf>
    <xf numFmtId="0" fontId="13" fillId="17" borderId="0" xfId="6" applyFont="1" applyFill="1" applyAlignment="1">
      <alignment horizontal="center" vertical="center" wrapText="1"/>
    </xf>
    <xf numFmtId="0" fontId="13" fillId="17" borderId="14" xfId="6" applyFont="1" applyFill="1" applyBorder="1" applyAlignment="1">
      <alignment horizontal="center"/>
    </xf>
    <xf numFmtId="0" fontId="13" fillId="17" borderId="48" xfId="6" applyFont="1" applyFill="1" applyBorder="1" applyAlignment="1">
      <alignment horizontal="center"/>
    </xf>
    <xf numFmtId="0" fontId="16" fillId="0" borderId="11" xfId="6" applyFont="1" applyBorder="1" applyAlignment="1">
      <alignment horizontal="left" vertical="center" wrapText="1"/>
    </xf>
    <xf numFmtId="0" fontId="9" fillId="0" borderId="55" xfId="1" applyFont="1" applyBorder="1" applyAlignment="1">
      <alignment horizontal="center" vertical="center"/>
    </xf>
    <xf numFmtId="0" fontId="36" fillId="0" borderId="55" xfId="6" applyFont="1" applyBorder="1" applyAlignment="1">
      <alignment horizontal="center"/>
    </xf>
    <xf numFmtId="0" fontId="35" fillId="0" borderId="55" xfId="1" applyFont="1" applyBorder="1" applyAlignment="1">
      <alignment horizontal="center" vertical="center"/>
    </xf>
    <xf numFmtId="0" fontId="11" fillId="0" borderId="55" xfId="1" applyFont="1" applyBorder="1" applyAlignment="1">
      <alignment horizontal="center" vertical="center" wrapText="1"/>
    </xf>
    <xf numFmtId="0" fontId="11" fillId="0" borderId="55" xfId="1" applyFont="1" applyBorder="1" applyAlignment="1">
      <alignment horizontal="center" vertical="top" wrapText="1"/>
    </xf>
    <xf numFmtId="0" fontId="12" fillId="0" borderId="51" xfId="1" applyFont="1" applyBorder="1" applyAlignment="1">
      <alignment horizontal="center" vertical="center"/>
    </xf>
    <xf numFmtId="0" fontId="12" fillId="0" borderId="52" xfId="1" applyFont="1" applyBorder="1" applyAlignment="1">
      <alignment horizontal="center" vertical="center"/>
    </xf>
    <xf numFmtId="0" fontId="9" fillId="0" borderId="51" xfId="1" applyFont="1" applyBorder="1" applyAlignment="1">
      <alignment horizontal="center" vertical="center" wrapText="1"/>
    </xf>
    <xf numFmtId="0" fontId="9" fillId="0" borderId="52" xfId="1" applyFont="1" applyBorder="1" applyAlignment="1">
      <alignment horizontal="center" vertical="center" wrapText="1"/>
    </xf>
    <xf numFmtId="0" fontId="12" fillId="0" borderId="57" xfId="1" applyFont="1" applyBorder="1" applyAlignment="1">
      <alignment horizontal="center" vertical="center"/>
    </xf>
    <xf numFmtId="0" fontId="12" fillId="0" borderId="58" xfId="1" applyFont="1" applyBorder="1" applyAlignment="1">
      <alignment horizontal="center" vertical="center"/>
    </xf>
    <xf numFmtId="0" fontId="33" fillId="20" borderId="5" xfId="1" applyFont="1" applyFill="1" applyBorder="1" applyAlignment="1">
      <alignment horizontal="center" vertical="center" wrapText="1"/>
    </xf>
    <xf numFmtId="0" fontId="33" fillId="20" borderId="0" xfId="1" applyFont="1" applyFill="1" applyAlignment="1">
      <alignment horizontal="center" vertical="center" wrapText="1"/>
    </xf>
    <xf numFmtId="0" fontId="9" fillId="0" borderId="50" xfId="1" applyFont="1" applyBorder="1" applyAlignment="1">
      <alignment horizontal="right" vertical="center"/>
    </xf>
    <xf numFmtId="0" fontId="28" fillId="2" borderId="48" xfId="1" applyFont="1" applyFill="1" applyBorder="1" applyAlignment="1">
      <alignment horizontal="center" vertical="center"/>
    </xf>
    <xf numFmtId="0" fontId="34" fillId="0" borderId="53" xfId="1" applyFont="1" applyBorder="1" applyAlignment="1">
      <alignment horizontal="center" vertical="center"/>
    </xf>
    <xf numFmtId="0" fontId="34" fillId="0" borderId="54" xfId="1" applyFont="1" applyBorder="1" applyAlignment="1">
      <alignment horizontal="center" vertical="center"/>
    </xf>
    <xf numFmtId="0" fontId="34" fillId="0" borderId="51" xfId="1" applyFont="1" applyBorder="1" applyAlignment="1">
      <alignment horizontal="center" vertical="center"/>
    </xf>
    <xf numFmtId="0" fontId="34" fillId="0" borderId="52" xfId="1" applyFont="1" applyBorder="1" applyAlignment="1">
      <alignment horizontal="center" vertical="center"/>
    </xf>
    <xf numFmtId="0" fontId="13" fillId="17" borderId="11" xfId="6" applyFont="1" applyFill="1" applyBorder="1" applyAlignment="1">
      <alignment horizontal="center" vertical="center" wrapText="1"/>
    </xf>
    <xf numFmtId="0" fontId="9" fillId="0" borderId="49" xfId="1" applyFont="1" applyBorder="1" applyAlignment="1">
      <alignment horizontal="right" vertical="center"/>
    </xf>
    <xf numFmtId="0" fontId="9" fillId="0" borderId="55" xfId="1" applyFont="1" applyBorder="1" applyAlignment="1">
      <alignment horizontal="center" vertical="center" wrapText="1"/>
    </xf>
    <xf numFmtId="0" fontId="12" fillId="0" borderId="55" xfId="1" applyFont="1" applyBorder="1" applyAlignment="1">
      <alignment horizontal="left" vertical="center"/>
    </xf>
    <xf numFmtId="0" fontId="9" fillId="0" borderId="55" xfId="1" applyFont="1" applyBorder="1" applyAlignment="1">
      <alignment horizontal="left" vertical="center"/>
    </xf>
    <xf numFmtId="0" fontId="9" fillId="0" borderId="55" xfId="1" applyFont="1" applyBorder="1" applyAlignment="1">
      <alignment horizontal="left" vertical="center" wrapText="1"/>
    </xf>
    <xf numFmtId="0" fontId="28" fillId="0" borderId="55" xfId="1" applyFont="1" applyBorder="1" applyAlignment="1">
      <alignment horizontal="left" vertical="center"/>
    </xf>
    <xf numFmtId="0" fontId="12" fillId="0" borderId="55" xfId="1" applyFont="1" applyBorder="1" applyAlignment="1">
      <alignment horizontal="left" vertical="center" wrapText="1"/>
    </xf>
    <xf numFmtId="0" fontId="21" fillId="0" borderId="55" xfId="1" applyFont="1" applyBorder="1" applyAlignment="1">
      <alignment horizontal="left" vertical="center" wrapText="1"/>
    </xf>
    <xf numFmtId="0" fontId="11" fillId="0" borderId="56" xfId="1" applyFont="1" applyBorder="1" applyAlignment="1">
      <alignment horizontal="center" vertical="top" wrapText="1"/>
    </xf>
    <xf numFmtId="0" fontId="11" fillId="0" borderId="52" xfId="1" applyFont="1" applyBorder="1" applyAlignment="1">
      <alignment horizontal="center" vertical="top" wrapText="1"/>
    </xf>
    <xf numFmtId="0" fontId="12" fillId="0" borderId="55" xfId="1" applyFont="1" applyBorder="1" applyAlignment="1">
      <alignment horizontal="center" vertical="top" wrapText="1"/>
    </xf>
    <xf numFmtId="0" fontId="12" fillId="0" borderId="56" xfId="1" applyFont="1" applyBorder="1" applyAlignment="1">
      <alignment horizontal="center"/>
    </xf>
    <xf numFmtId="0" fontId="12" fillId="0" borderId="52" xfId="1" applyFont="1" applyBorder="1" applyAlignment="1">
      <alignment horizontal="center"/>
    </xf>
    <xf numFmtId="0" fontId="13" fillId="19" borderId="11" xfId="0" applyFont="1" applyFill="1" applyBorder="1" applyAlignment="1">
      <alignment horizontal="center" vertical="center" wrapText="1"/>
    </xf>
    <xf numFmtId="1" fontId="9" fillId="4" borderId="13" xfId="0" applyNumberFormat="1" applyFont="1" applyFill="1" applyBorder="1" applyAlignment="1">
      <alignment horizontal="center" vertical="center"/>
    </xf>
    <xf numFmtId="0" fontId="28" fillId="0" borderId="0" xfId="0" applyFont="1" applyAlignment="1">
      <alignment horizontal="left" vertical="center"/>
    </xf>
    <xf numFmtId="0" fontId="28" fillId="5" borderId="14" xfId="0" applyFont="1" applyFill="1" applyBorder="1" applyAlignment="1">
      <alignment horizontal="center" vertical="center" wrapText="1"/>
    </xf>
    <xf numFmtId="0" fontId="28" fillId="5" borderId="15" xfId="0" applyFont="1" applyFill="1" applyBorder="1" applyAlignment="1">
      <alignment horizontal="center" vertical="center" wrapText="1"/>
    </xf>
    <xf numFmtId="0" fontId="28" fillId="5" borderId="16" xfId="0" applyFont="1" applyFill="1" applyBorder="1" applyAlignment="1">
      <alignment horizontal="center" vertical="center" wrapText="1"/>
    </xf>
    <xf numFmtId="0" fontId="28" fillId="5" borderId="17" xfId="0" applyFont="1" applyFill="1" applyBorder="1" applyAlignment="1">
      <alignment horizontal="center" vertical="center" wrapText="1"/>
    </xf>
    <xf numFmtId="0" fontId="28" fillId="5" borderId="8" xfId="0" applyFont="1" applyFill="1" applyBorder="1" applyAlignment="1">
      <alignment horizontal="center" vertical="center"/>
    </xf>
    <xf numFmtId="0" fontId="28" fillId="5" borderId="9" xfId="0" applyFont="1" applyFill="1" applyBorder="1" applyAlignment="1">
      <alignment horizontal="center" vertical="center"/>
    </xf>
    <xf numFmtId="0" fontId="28" fillId="5" borderId="10" xfId="0" applyFont="1" applyFill="1" applyBorder="1" applyAlignment="1">
      <alignment horizontal="center" vertical="center"/>
    </xf>
    <xf numFmtId="0" fontId="13" fillId="19" borderId="11" xfId="0" applyFont="1" applyFill="1" applyBorder="1" applyAlignment="1">
      <alignment horizontal="center" vertical="center"/>
    </xf>
    <xf numFmtId="0" fontId="29" fillId="7" borderId="8" xfId="0" applyFont="1" applyFill="1" applyBorder="1" applyAlignment="1">
      <alignment horizontal="right" vertical="center" indent="1"/>
    </xf>
    <xf numFmtId="0" fontId="29" fillId="7" borderId="10" xfId="0" applyFont="1" applyFill="1" applyBorder="1" applyAlignment="1">
      <alignment horizontal="right" vertical="center" indent="1"/>
    </xf>
    <xf numFmtId="1" fontId="13" fillId="19" borderId="11" xfId="0" applyNumberFormat="1" applyFont="1" applyFill="1" applyBorder="1" applyAlignment="1">
      <alignment horizontal="center" vertical="center"/>
    </xf>
    <xf numFmtId="1" fontId="28" fillId="4" borderId="8" xfId="0" applyNumberFormat="1" applyFont="1" applyFill="1" applyBorder="1" applyAlignment="1">
      <alignment horizontal="left" vertical="center" wrapText="1"/>
    </xf>
    <xf numFmtId="1" fontId="28" fillId="4" borderId="10" xfId="0" applyNumberFormat="1" applyFont="1" applyFill="1" applyBorder="1" applyAlignment="1">
      <alignment horizontal="left" vertical="center" wrapText="1"/>
    </xf>
    <xf numFmtId="0" fontId="27" fillId="4" borderId="9" xfId="0" applyFont="1" applyFill="1" applyBorder="1" applyAlignment="1">
      <alignment horizontal="left" vertical="top" wrapText="1"/>
    </xf>
    <xf numFmtId="0" fontId="27" fillId="4" borderId="10" xfId="0" applyFont="1" applyFill="1" applyBorder="1" applyAlignment="1">
      <alignment horizontal="left" vertical="top" wrapText="1"/>
    </xf>
    <xf numFmtId="1" fontId="28" fillId="4" borderId="11" xfId="0" applyNumberFormat="1" applyFont="1" applyFill="1" applyBorder="1" applyAlignment="1">
      <alignment horizontal="left" vertical="center" wrapText="1"/>
    </xf>
    <xf numFmtId="0" fontId="27" fillId="4" borderId="11" xfId="0" applyFont="1" applyFill="1" applyBorder="1" applyAlignment="1">
      <alignment horizontal="left" vertical="top" wrapText="1"/>
    </xf>
    <xf numFmtId="0" fontId="33" fillId="21" borderId="0" xfId="0" applyFont="1" applyFill="1" applyAlignment="1">
      <alignment horizontal="center" vertical="center"/>
    </xf>
    <xf numFmtId="0" fontId="39" fillId="18" borderId="0" xfId="0" applyFont="1" applyFill="1" applyAlignment="1">
      <alignment horizontal="center"/>
    </xf>
    <xf numFmtId="0" fontId="31" fillId="0" borderId="8" xfId="0" applyFont="1" applyBorder="1" applyAlignment="1">
      <alignment horizontal="left"/>
    </xf>
    <xf numFmtId="0" fontId="31" fillId="0" borderId="9" xfId="0" applyFont="1" applyBorder="1" applyAlignment="1">
      <alignment horizontal="left"/>
    </xf>
    <xf numFmtId="0" fontId="31" fillId="0" borderId="10" xfId="0" applyFont="1" applyBorder="1" applyAlignment="1">
      <alignment horizontal="left"/>
    </xf>
    <xf numFmtId="1" fontId="28" fillId="4" borderId="3" xfId="0" applyNumberFormat="1" applyFont="1" applyFill="1" applyBorder="1" applyAlignment="1">
      <alignment vertical="center" wrapText="1"/>
    </xf>
    <xf numFmtId="0" fontId="27" fillId="0" borderId="0" xfId="0" applyFont="1" applyAlignment="1">
      <alignment horizontal="left"/>
    </xf>
    <xf numFmtId="0" fontId="27" fillId="0" borderId="6" xfId="0" applyFont="1" applyBorder="1" applyAlignment="1">
      <alignment horizontal="left"/>
    </xf>
    <xf numFmtId="0" fontId="15" fillId="12" borderId="8" xfId="0" applyFont="1" applyFill="1" applyBorder="1" applyAlignment="1">
      <alignment vertical="top" wrapText="1"/>
    </xf>
    <xf numFmtId="0" fontId="15" fillId="12" borderId="33" xfId="0" applyFont="1" applyFill="1" applyBorder="1" applyAlignment="1">
      <alignment vertical="top" wrapText="1"/>
    </xf>
    <xf numFmtId="0" fontId="15" fillId="12" borderId="9" xfId="0" applyFont="1" applyFill="1" applyBorder="1" applyAlignment="1">
      <alignment vertical="top" wrapText="1"/>
    </xf>
    <xf numFmtId="0" fontId="15" fillId="12" borderId="10" xfId="0" applyFont="1" applyFill="1" applyBorder="1" applyAlignment="1">
      <alignment vertical="top" wrapText="1"/>
    </xf>
    <xf numFmtId="0" fontId="13" fillId="18" borderId="11" xfId="0" applyFont="1" applyFill="1" applyBorder="1" applyAlignment="1">
      <alignment horizontal="center" vertical="center" wrapText="1"/>
    </xf>
    <xf numFmtId="0" fontId="14" fillId="18" borderId="11" xfId="0" applyFont="1" applyFill="1" applyBorder="1" applyAlignment="1">
      <alignment vertical="center"/>
    </xf>
    <xf numFmtId="0" fontId="14" fillId="18" borderId="11" xfId="0" applyFont="1" applyFill="1" applyBorder="1" applyAlignment="1">
      <alignment horizontal="center" vertical="center"/>
    </xf>
    <xf numFmtId="0" fontId="15" fillId="12" borderId="16" xfId="0" applyFont="1" applyFill="1" applyBorder="1" applyAlignment="1">
      <alignment vertical="top" wrapText="1"/>
    </xf>
    <xf numFmtId="0" fontId="15" fillId="12" borderId="17" xfId="0" applyFont="1" applyFill="1" applyBorder="1" applyAlignment="1">
      <alignment vertical="top" wrapText="1"/>
    </xf>
    <xf numFmtId="0" fontId="20" fillId="13" borderId="8" xfId="0" applyFont="1" applyFill="1" applyBorder="1" applyAlignment="1">
      <alignment wrapText="1"/>
    </xf>
    <xf numFmtId="0" fontId="20" fillId="13" borderId="9" xfId="0" applyFont="1" applyFill="1" applyBorder="1" applyAlignment="1">
      <alignment wrapText="1"/>
    </xf>
    <xf numFmtId="0" fontId="20" fillId="13" borderId="10" xfId="0" applyFont="1" applyFill="1" applyBorder="1" applyAlignment="1">
      <alignment wrapText="1"/>
    </xf>
    <xf numFmtId="0" fontId="22" fillId="13" borderId="8" xfId="0" applyFont="1" applyFill="1" applyBorder="1" applyAlignment="1">
      <alignment wrapText="1"/>
    </xf>
    <xf numFmtId="0" fontId="16" fillId="8" borderId="14" xfId="0" applyFont="1" applyFill="1" applyBorder="1" applyAlignment="1">
      <alignment horizontal="left" vertical="center" wrapText="1"/>
    </xf>
    <xf numFmtId="0" fontId="16" fillId="8" borderId="34" xfId="0" applyFont="1" applyFill="1" applyBorder="1" applyAlignment="1">
      <alignment horizontal="left" vertical="center" wrapText="1"/>
    </xf>
    <xf numFmtId="0" fontId="16" fillId="8" borderId="35" xfId="0" applyFont="1" applyFill="1" applyBorder="1" applyAlignment="1">
      <alignment horizontal="left" vertical="center" wrapText="1"/>
    </xf>
    <xf numFmtId="0" fontId="15" fillId="11" borderId="8" xfId="0" applyFont="1" applyFill="1" applyBorder="1" applyAlignment="1">
      <alignment wrapText="1"/>
    </xf>
    <xf numFmtId="0" fontId="15" fillId="11" borderId="9" xfId="0" applyFont="1" applyFill="1" applyBorder="1" applyAlignment="1">
      <alignment wrapText="1"/>
    </xf>
    <xf numFmtId="0" fontId="15" fillId="11" borderId="10" xfId="0" applyFont="1" applyFill="1" applyBorder="1" applyAlignment="1">
      <alignment wrapText="1"/>
    </xf>
    <xf numFmtId="0" fontId="10" fillId="4" borderId="11" xfId="0" applyFont="1" applyFill="1" applyBorder="1" applyAlignment="1">
      <alignment horizontal="left" vertical="center" wrapText="1"/>
    </xf>
    <xf numFmtId="0" fontId="11" fillId="0" borderId="11" xfId="0" applyFont="1" applyBorder="1" applyAlignment="1">
      <alignment vertical="center"/>
    </xf>
    <xf numFmtId="14" fontId="10" fillId="4" borderId="19" xfId="0" applyNumberFormat="1" applyFont="1" applyFill="1" applyBorder="1" applyAlignment="1">
      <alignment horizontal="left" vertical="center" wrapText="1"/>
    </xf>
    <xf numFmtId="0" fontId="10" fillId="4" borderId="19" xfId="0" applyFont="1" applyFill="1" applyBorder="1" applyAlignment="1">
      <alignment horizontal="left" vertical="center" wrapText="1"/>
    </xf>
    <xf numFmtId="0" fontId="9" fillId="4" borderId="11" xfId="0" applyFont="1" applyFill="1" applyBorder="1" applyAlignment="1">
      <alignment horizontal="center" vertical="center" wrapText="1"/>
    </xf>
    <xf numFmtId="0" fontId="10" fillId="4" borderId="37" xfId="0" applyFont="1" applyFill="1" applyBorder="1" applyAlignment="1">
      <alignment horizontal="left" vertical="center" wrapText="1"/>
    </xf>
    <xf numFmtId="0" fontId="10" fillId="4" borderId="38" xfId="0" applyFont="1" applyFill="1" applyBorder="1" applyAlignment="1">
      <alignment horizontal="left" vertical="center" wrapText="1"/>
    </xf>
    <xf numFmtId="0" fontId="11" fillId="0" borderId="38" xfId="0" applyFont="1" applyBorder="1" applyAlignment="1">
      <alignment vertical="center"/>
    </xf>
    <xf numFmtId="0" fontId="11" fillId="0" borderId="39" xfId="0" applyFont="1" applyBorder="1" applyAlignment="1">
      <alignment vertical="center"/>
    </xf>
    <xf numFmtId="0" fontId="10" fillId="4"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1" fillId="0" borderId="2" xfId="0" applyFont="1" applyBorder="1" applyAlignment="1">
      <alignment vertical="center"/>
    </xf>
    <xf numFmtId="0" fontId="11" fillId="0" borderId="41" xfId="0" applyFont="1" applyBorder="1" applyAlignment="1">
      <alignment vertical="center"/>
    </xf>
    <xf numFmtId="0" fontId="10" fillId="4" borderId="3" xfId="0" applyFont="1" applyFill="1" applyBorder="1" applyAlignment="1">
      <alignment horizontal="left" vertical="center" wrapText="1"/>
    </xf>
    <xf numFmtId="0" fontId="10" fillId="4" borderId="22" xfId="0" applyFont="1" applyFill="1" applyBorder="1" applyAlignment="1">
      <alignment horizontal="left" vertical="center" wrapText="1"/>
    </xf>
    <xf numFmtId="0" fontId="11" fillId="0" borderId="22" xfId="0" applyFont="1" applyBorder="1" applyAlignment="1">
      <alignment vertical="center"/>
    </xf>
    <xf numFmtId="0" fontId="11" fillId="0" borderId="43" xfId="0" applyFont="1" applyBorder="1" applyAlignment="1">
      <alignment vertical="center"/>
    </xf>
    <xf numFmtId="14" fontId="10" fillId="4" borderId="45" xfId="0" applyNumberFormat="1" applyFont="1" applyFill="1" applyBorder="1" applyAlignment="1">
      <alignment horizontal="left" vertical="center" wrapText="1"/>
    </xf>
    <xf numFmtId="0" fontId="10" fillId="4" borderId="46" xfId="0" applyFont="1" applyFill="1" applyBorder="1" applyAlignment="1">
      <alignment horizontal="left" vertical="center" wrapText="1"/>
    </xf>
    <xf numFmtId="0" fontId="10" fillId="4" borderId="47" xfId="0" applyFont="1" applyFill="1" applyBorder="1" applyAlignment="1">
      <alignment horizontal="left" vertical="center" wrapText="1"/>
    </xf>
    <xf numFmtId="0" fontId="9" fillId="4" borderId="23"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5" fillId="9" borderId="8" xfId="0" applyFont="1" applyFill="1" applyBorder="1" applyAlignment="1">
      <alignment horizontal="left" vertical="top" wrapText="1"/>
    </xf>
    <xf numFmtId="0" fontId="15" fillId="9" borderId="9" xfId="0" applyFont="1" applyFill="1" applyBorder="1" applyAlignment="1">
      <alignment horizontal="left" vertical="top" wrapText="1"/>
    </xf>
    <xf numFmtId="0" fontId="15" fillId="9" borderId="10" xfId="0" applyFont="1" applyFill="1" applyBorder="1" applyAlignment="1">
      <alignment horizontal="left" vertical="top" wrapText="1"/>
    </xf>
    <xf numFmtId="0" fontId="11" fillId="9" borderId="8" xfId="0" applyFont="1" applyFill="1" applyBorder="1" applyAlignment="1">
      <alignment horizontal="left" vertical="top" wrapText="1"/>
    </xf>
    <xf numFmtId="0" fontId="11" fillId="9" borderId="9" xfId="0" applyFont="1" applyFill="1" applyBorder="1" applyAlignment="1">
      <alignment horizontal="left" vertical="top" wrapText="1"/>
    </xf>
    <xf numFmtId="0" fontId="11" fillId="9" borderId="10" xfId="0" applyFont="1" applyFill="1" applyBorder="1" applyAlignment="1">
      <alignment horizontal="left" vertical="top" wrapText="1"/>
    </xf>
    <xf numFmtId="0" fontId="15" fillId="10" borderId="11" xfId="0" applyFont="1" applyFill="1" applyBorder="1" applyAlignment="1">
      <alignment horizontal="left" vertical="top" wrapText="1"/>
    </xf>
    <xf numFmtId="0" fontId="11" fillId="10" borderId="11" xfId="0" applyFont="1" applyFill="1" applyBorder="1" applyAlignment="1">
      <alignment vertical="top"/>
    </xf>
    <xf numFmtId="0" fontId="15" fillId="9" borderId="11" xfId="0" applyFont="1" applyFill="1" applyBorder="1" applyAlignment="1">
      <alignment horizontal="left" vertical="center" wrapText="1"/>
    </xf>
    <xf numFmtId="0" fontId="11" fillId="9" borderId="11" xfId="0" applyFont="1" applyFill="1" applyBorder="1" applyAlignment="1">
      <alignment vertical="center" wrapText="1"/>
    </xf>
    <xf numFmtId="0" fontId="40" fillId="0" borderId="55" xfId="1" applyFont="1" applyBorder="1" applyAlignment="1">
      <alignment horizontal="left" vertical="center" wrapText="1"/>
    </xf>
    <xf numFmtId="0" fontId="41" fillId="0" borderId="55" xfId="1" applyFont="1" applyBorder="1" applyAlignment="1">
      <alignment horizontal="left" vertical="center" wrapText="1"/>
    </xf>
    <xf numFmtId="0" fontId="37" fillId="0" borderId="11" xfId="6" applyFont="1" applyBorder="1" applyAlignment="1"/>
    <xf numFmtId="0" fontId="16" fillId="0" borderId="11" xfId="6" applyFont="1" applyBorder="1" applyAlignment="1"/>
    <xf numFmtId="0" fontId="11" fillId="0" borderId="49" xfId="1" applyFont="1" applyBorder="1" applyAlignment="1"/>
    <xf numFmtId="0" fontId="11" fillId="0" borderId="50" xfId="1" applyFont="1" applyBorder="1" applyAlignment="1"/>
    <xf numFmtId="0" fontId="11" fillId="0" borderId="55" xfId="1" applyFont="1" applyBorder="1" applyAlignment="1"/>
    <xf numFmtId="0" fontId="11" fillId="0" borderId="4" xfId="0" applyFont="1" applyBorder="1" applyAlignment="1"/>
    <xf numFmtId="0" fontId="11" fillId="0" borderId="0" xfId="0" applyFont="1" applyAlignment="1"/>
    <xf numFmtId="0" fontId="11" fillId="18" borderId="11" xfId="0" applyFont="1" applyFill="1" applyBorder="1" applyAlignment="1"/>
    <xf numFmtId="0" fontId="11" fillId="18" borderId="19" xfId="0" applyFont="1" applyFill="1" applyBorder="1" applyAlignment="1"/>
    <xf numFmtId="0" fontId="11" fillId="0" borderId="13" xfId="0" applyFont="1" applyBorder="1" applyAlignment="1"/>
  </cellXfs>
  <cellStyles count="7">
    <cellStyle name="Hyperlink" xfId="2" xr:uid="{00000000-0005-0000-0000-000000000000}"/>
    <cellStyle name="Hyperlink 2" xfId="5" xr:uid="{233F689C-2B81-40A8-911B-48AE6027E5FF}"/>
    <cellStyle name="Normal" xfId="0" builtinId="0"/>
    <cellStyle name="Normal 2" xfId="1" xr:uid="{00000000-0005-0000-0000-000002000000}"/>
    <cellStyle name="Normal 2 2" xfId="4" xr:uid="{00000000-0005-0000-0000-000003000000}"/>
    <cellStyle name="Normal 2 4" xfId="6" xr:uid="{1963996C-025D-4D9E-A4C2-7BA13E08F7A2}"/>
    <cellStyle name="Task" xfId="3" xr:uid="{00000000-0005-0000-0000-000004000000}"/>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mruColors>
      <color rgb="FFF7DFDF"/>
      <color rgb="FF7B3E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511177</xdr:colOff>
      <xdr:row>0</xdr:row>
      <xdr:rowOff>58738</xdr:rowOff>
    </xdr:from>
    <xdr:to>
      <xdr:col>1</xdr:col>
      <xdr:colOff>904875</xdr:colOff>
      <xdr:row>1</xdr:row>
      <xdr:rowOff>267799</xdr:rowOff>
    </xdr:to>
    <xdr:pic>
      <xdr:nvPicPr>
        <xdr:cNvPr id="2" name="Picture 1">
          <a:extLst>
            <a:ext uri="{FF2B5EF4-FFF2-40B4-BE49-F238E27FC236}">
              <a16:creationId xmlns:a16="http://schemas.microsoft.com/office/drawing/2014/main" id="{4DCF95BB-2B9D-4F8C-8B70-5CCC94525763}"/>
            </a:ext>
          </a:extLst>
        </xdr:cNvPr>
        <xdr:cNvPicPr>
          <a:picLocks noChangeAspect="1"/>
        </xdr:cNvPicPr>
      </xdr:nvPicPr>
      <xdr:blipFill>
        <a:blip xmlns:r="http://schemas.openxmlformats.org/officeDocument/2006/relationships" r:embed="rId1"/>
        <a:stretch>
          <a:fillRect/>
        </a:stretch>
      </xdr:blipFill>
      <xdr:spPr>
        <a:xfrm>
          <a:off x="511177" y="58738"/>
          <a:ext cx="1695448" cy="513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511177</xdr:colOff>
      <xdr:row>0</xdr:row>
      <xdr:rowOff>58738</xdr:rowOff>
    </xdr:from>
    <xdr:to>
      <xdr:col>2</xdr:col>
      <xdr:colOff>0</xdr:colOff>
      <xdr:row>1</xdr:row>
      <xdr:rowOff>245574</xdr:rowOff>
    </xdr:to>
    <xdr:pic>
      <xdr:nvPicPr>
        <xdr:cNvPr id="3" name="Picture 2">
          <a:extLst>
            <a:ext uri="{FF2B5EF4-FFF2-40B4-BE49-F238E27FC236}">
              <a16:creationId xmlns:a16="http://schemas.microsoft.com/office/drawing/2014/main" id="{E2D561C8-3F21-4E63-8110-46EC0F9208B8}"/>
            </a:ext>
          </a:extLst>
        </xdr:cNvPr>
        <xdr:cNvPicPr>
          <a:picLocks noChangeAspect="1"/>
        </xdr:cNvPicPr>
      </xdr:nvPicPr>
      <xdr:blipFill>
        <a:blip xmlns:r="http://schemas.openxmlformats.org/officeDocument/2006/relationships" r:embed="rId1"/>
        <a:stretch>
          <a:fillRect/>
        </a:stretch>
      </xdr:blipFill>
      <xdr:spPr>
        <a:xfrm>
          <a:off x="511177" y="58738"/>
          <a:ext cx="1698623" cy="5138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git.cs.etc.vn/ttdvcn/its-dms/-/issues/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52BF-ED1D-4968-AA76-808AFE0EE20C}">
  <dimension ref="A1:AA993"/>
  <sheetViews>
    <sheetView showGridLines="0" view="pageBreakPreview" topLeftCell="A5" zoomScaleNormal="100" zoomScaleSheetLayoutView="100" workbookViewId="0">
      <selection activeCell="I5" sqref="I5"/>
    </sheetView>
  </sheetViews>
  <sheetFormatPr defaultColWidth="9.140625" defaultRowHeight="16.5"/>
  <cols>
    <col min="1" max="2" width="18.7109375" style="111" customWidth="1"/>
    <col min="3" max="3" width="18.28515625" style="111" customWidth="1"/>
    <col min="4" max="4" width="18.42578125" style="111" customWidth="1"/>
    <col min="5" max="5" width="18.140625" style="111" customWidth="1"/>
    <col min="6" max="7" width="18.28515625" style="111" customWidth="1"/>
    <col min="8" max="8" width="22.140625" style="111" bestFit="1" customWidth="1"/>
    <col min="9" max="16384" width="9.140625" style="111"/>
  </cols>
  <sheetData>
    <row r="1" spans="1:27" ht="24" customHeight="1">
      <c r="A1" s="139"/>
      <c r="B1" s="139"/>
      <c r="C1" s="140" t="s">
        <v>0</v>
      </c>
      <c r="D1" s="141"/>
      <c r="E1" s="141"/>
      <c r="F1" s="141"/>
      <c r="G1" s="109" t="s">
        <v>1</v>
      </c>
      <c r="H1" s="123" t="s">
        <v>2</v>
      </c>
      <c r="I1" s="110"/>
      <c r="J1" s="110"/>
      <c r="K1" s="110"/>
      <c r="L1" s="110"/>
      <c r="M1" s="110"/>
      <c r="N1" s="110"/>
      <c r="O1" s="110"/>
      <c r="P1" s="110"/>
      <c r="Q1" s="110"/>
      <c r="R1" s="110"/>
      <c r="S1" s="110"/>
      <c r="T1" s="110"/>
      <c r="U1" s="110"/>
      <c r="V1" s="110"/>
      <c r="W1" s="110"/>
      <c r="X1" s="110"/>
      <c r="Y1" s="110"/>
      <c r="Z1" s="110"/>
      <c r="AA1" s="110"/>
    </row>
    <row r="2" spans="1:27" ht="23.45" customHeight="1">
      <c r="A2" s="139"/>
      <c r="B2" s="139"/>
      <c r="C2" s="142"/>
      <c r="D2" s="143"/>
      <c r="E2" s="143"/>
      <c r="F2" s="143"/>
      <c r="G2" s="112" t="s">
        <v>3</v>
      </c>
      <c r="H2" s="107">
        <v>1</v>
      </c>
      <c r="I2" s="110"/>
      <c r="J2" s="110"/>
      <c r="K2" s="110"/>
      <c r="L2" s="110"/>
      <c r="M2" s="110"/>
      <c r="N2" s="110"/>
      <c r="O2" s="110"/>
      <c r="P2" s="110"/>
      <c r="Q2" s="110"/>
      <c r="R2" s="110"/>
      <c r="S2" s="110"/>
      <c r="T2" s="110"/>
      <c r="U2" s="110"/>
      <c r="V2" s="110"/>
      <c r="W2" s="110"/>
      <c r="X2" s="110"/>
      <c r="Y2" s="110"/>
      <c r="Z2" s="110"/>
      <c r="AA2" s="110"/>
    </row>
    <row r="3" spans="1:27">
      <c r="A3" s="110"/>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row>
    <row r="4" spans="1:27">
      <c r="A4" s="144" t="s">
        <v>4</v>
      </c>
      <c r="B4" s="145"/>
      <c r="C4" s="145"/>
      <c r="D4" s="145"/>
      <c r="E4" s="145"/>
      <c r="F4" s="145"/>
      <c r="G4" s="145"/>
      <c r="H4" s="145"/>
      <c r="I4" s="110"/>
      <c r="J4" s="110"/>
      <c r="K4" s="110"/>
      <c r="L4" s="110"/>
      <c r="M4" s="110"/>
      <c r="N4" s="110"/>
      <c r="O4" s="110"/>
      <c r="P4" s="110"/>
      <c r="Q4" s="110"/>
      <c r="R4" s="110"/>
      <c r="S4" s="110"/>
      <c r="T4" s="110"/>
      <c r="U4" s="110"/>
      <c r="V4" s="110"/>
      <c r="W4" s="110"/>
      <c r="X4" s="110"/>
      <c r="Y4" s="110"/>
      <c r="Z4" s="110"/>
      <c r="AA4" s="110"/>
    </row>
    <row r="5" spans="1:27" ht="165" customHeight="1">
      <c r="A5" s="146" t="s">
        <v>5</v>
      </c>
      <c r="B5" s="146"/>
      <c r="C5" s="146"/>
      <c r="D5" s="146"/>
      <c r="E5" s="146"/>
      <c r="F5" s="146"/>
      <c r="G5" s="146"/>
      <c r="H5" s="146"/>
      <c r="I5" s="110"/>
      <c r="J5" s="110"/>
      <c r="K5" s="110"/>
      <c r="L5" s="110"/>
      <c r="M5" s="110"/>
      <c r="N5" s="110"/>
      <c r="O5" s="110"/>
      <c r="P5" s="110"/>
      <c r="Q5" s="110"/>
      <c r="R5" s="110"/>
      <c r="S5" s="110"/>
      <c r="T5" s="110"/>
      <c r="U5" s="110"/>
      <c r="V5" s="110"/>
      <c r="W5" s="110"/>
      <c r="X5" s="110"/>
      <c r="Y5" s="110"/>
      <c r="Z5" s="110"/>
      <c r="AA5" s="110"/>
    </row>
    <row r="6" spans="1:27">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row>
    <row r="7" spans="1:27">
      <c r="A7" s="132" t="s">
        <v>6</v>
      </c>
      <c r="B7" s="132"/>
      <c r="C7" s="132"/>
      <c r="D7" s="132"/>
      <c r="E7" s="132"/>
      <c r="F7" s="132"/>
      <c r="G7" s="132"/>
      <c r="H7" s="132"/>
      <c r="I7" s="110"/>
      <c r="J7" s="110"/>
      <c r="K7" s="110"/>
      <c r="L7" s="110"/>
      <c r="M7" s="110"/>
      <c r="N7" s="110"/>
      <c r="O7" s="110"/>
      <c r="P7" s="110"/>
      <c r="Q7" s="110"/>
      <c r="R7" s="110"/>
      <c r="S7" s="110"/>
      <c r="T7" s="110"/>
      <c r="U7" s="110"/>
      <c r="V7" s="110"/>
      <c r="W7" s="110"/>
      <c r="X7" s="110"/>
      <c r="Y7" s="110"/>
      <c r="Z7" s="110"/>
      <c r="AA7" s="110"/>
    </row>
    <row r="8" spans="1:27">
      <c r="A8" s="113" t="s">
        <v>7</v>
      </c>
      <c r="B8" s="138" t="s">
        <v>8</v>
      </c>
      <c r="C8" s="138"/>
      <c r="D8" s="138"/>
      <c r="E8" s="138"/>
      <c r="F8" s="138" t="s">
        <v>9</v>
      </c>
      <c r="G8" s="138"/>
      <c r="H8" s="138"/>
      <c r="I8" s="110"/>
      <c r="J8" s="110"/>
      <c r="K8" s="110"/>
      <c r="L8" s="110"/>
      <c r="M8" s="110"/>
      <c r="N8" s="110"/>
      <c r="O8" s="110"/>
      <c r="P8" s="110"/>
      <c r="Q8" s="110"/>
      <c r="R8" s="110"/>
      <c r="S8" s="110"/>
      <c r="T8" s="110"/>
      <c r="U8" s="110"/>
      <c r="V8" s="110"/>
      <c r="W8" s="110"/>
      <c r="X8" s="110"/>
      <c r="Y8" s="110"/>
      <c r="Z8" s="110"/>
      <c r="AA8" s="110"/>
    </row>
    <row r="9" spans="1:27">
      <c r="A9" s="114">
        <v>1</v>
      </c>
      <c r="B9" s="131" t="s">
        <v>10</v>
      </c>
      <c r="C9" s="131"/>
      <c r="D9" s="131"/>
      <c r="E9" s="131"/>
      <c r="F9" s="137" t="s">
        <v>10</v>
      </c>
      <c r="G9" s="137"/>
      <c r="H9" s="137"/>
      <c r="I9" s="110"/>
      <c r="J9" s="110"/>
      <c r="K9" s="110"/>
      <c r="L9" s="110"/>
      <c r="M9" s="110"/>
      <c r="N9" s="110"/>
      <c r="O9" s="110"/>
      <c r="P9" s="110"/>
      <c r="Q9" s="110"/>
      <c r="R9" s="110"/>
      <c r="S9" s="110"/>
      <c r="T9" s="110"/>
      <c r="U9" s="110"/>
      <c r="V9" s="110"/>
      <c r="W9" s="110"/>
      <c r="X9" s="110"/>
      <c r="Y9" s="110"/>
      <c r="Z9" s="110"/>
      <c r="AA9" s="110"/>
    </row>
    <row r="10" spans="1:27">
      <c r="A10" s="114">
        <v>2</v>
      </c>
      <c r="B10" s="131" t="s">
        <v>11</v>
      </c>
      <c r="C10" s="131"/>
      <c r="D10" s="131"/>
      <c r="E10" s="131"/>
      <c r="F10" s="137" t="s">
        <v>11</v>
      </c>
      <c r="G10" s="137"/>
      <c r="H10" s="137"/>
      <c r="I10" s="110"/>
      <c r="J10" s="110"/>
      <c r="K10" s="110"/>
      <c r="L10" s="110"/>
      <c r="M10" s="110"/>
      <c r="N10" s="110"/>
      <c r="O10" s="110"/>
      <c r="P10" s="110"/>
      <c r="Q10" s="110"/>
      <c r="R10" s="110"/>
      <c r="S10" s="110"/>
      <c r="T10" s="110"/>
      <c r="U10" s="110"/>
      <c r="V10" s="110"/>
      <c r="W10" s="110"/>
      <c r="X10" s="110"/>
      <c r="Y10" s="110"/>
      <c r="Z10" s="110"/>
      <c r="AA10" s="110"/>
    </row>
    <row r="11" spans="1:27">
      <c r="A11" s="114">
        <v>3</v>
      </c>
      <c r="B11" s="131" t="s">
        <v>12</v>
      </c>
      <c r="C11" s="131"/>
      <c r="D11" s="131"/>
      <c r="E11" s="131"/>
      <c r="F11" s="261" t="s">
        <v>12</v>
      </c>
      <c r="G11" s="261"/>
      <c r="H11" s="261"/>
      <c r="I11" s="110"/>
      <c r="J11" s="110"/>
      <c r="K11" s="110"/>
      <c r="L11" s="110"/>
      <c r="M11" s="110"/>
      <c r="N11" s="110"/>
      <c r="O11" s="110"/>
      <c r="P11" s="110"/>
      <c r="Q11" s="110"/>
      <c r="R11" s="110"/>
      <c r="S11" s="110"/>
      <c r="T11" s="110"/>
      <c r="U11" s="110"/>
      <c r="V11" s="110"/>
      <c r="W11" s="110"/>
      <c r="X11" s="110"/>
      <c r="Y11" s="110"/>
      <c r="Z11" s="110"/>
      <c r="AA11" s="110"/>
    </row>
    <row r="12" spans="1:27">
      <c r="A12" s="114">
        <v>4</v>
      </c>
      <c r="B12" s="131" t="s">
        <v>13</v>
      </c>
      <c r="C12" s="131"/>
      <c r="D12" s="131"/>
      <c r="E12" s="131"/>
      <c r="F12" s="261" t="s">
        <v>13</v>
      </c>
      <c r="G12" s="261"/>
      <c r="H12" s="261"/>
      <c r="I12" s="110"/>
      <c r="J12" s="110"/>
      <c r="K12" s="110"/>
      <c r="L12" s="110"/>
      <c r="M12" s="110"/>
      <c r="N12" s="110"/>
      <c r="O12" s="110"/>
      <c r="P12" s="110"/>
      <c r="Q12" s="110"/>
      <c r="R12" s="110"/>
      <c r="S12" s="110"/>
      <c r="T12" s="110"/>
      <c r="U12" s="110"/>
      <c r="V12" s="110"/>
      <c r="W12" s="110"/>
      <c r="X12" s="110"/>
      <c r="Y12" s="110"/>
      <c r="Z12" s="110"/>
      <c r="AA12" s="110"/>
    </row>
    <row r="13" spans="1:27">
      <c r="A13" s="110"/>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row>
    <row r="14" spans="1:27">
      <c r="A14" s="132" t="s">
        <v>14</v>
      </c>
      <c r="B14" s="132"/>
      <c r="C14" s="132"/>
      <c r="D14" s="132"/>
      <c r="E14" s="132"/>
      <c r="F14" s="132"/>
      <c r="G14" s="132"/>
      <c r="H14" s="132"/>
      <c r="I14" s="110"/>
      <c r="J14" s="110"/>
      <c r="K14" s="110"/>
      <c r="L14" s="110"/>
      <c r="M14" s="110"/>
      <c r="N14" s="110"/>
      <c r="O14" s="110"/>
      <c r="P14" s="110"/>
      <c r="Q14" s="110"/>
      <c r="R14" s="110"/>
      <c r="S14" s="110"/>
      <c r="T14" s="110"/>
      <c r="U14" s="110"/>
      <c r="V14" s="110"/>
      <c r="W14" s="110"/>
      <c r="X14" s="110"/>
      <c r="Y14" s="110"/>
      <c r="Z14" s="110"/>
      <c r="AA14" s="110"/>
    </row>
    <row r="15" spans="1:27">
      <c r="A15" s="116" t="s">
        <v>15</v>
      </c>
      <c r="B15" s="116" t="s">
        <v>16</v>
      </c>
      <c r="C15" s="133" t="s">
        <v>17</v>
      </c>
      <c r="D15" s="133"/>
      <c r="E15" s="133" t="s">
        <v>18</v>
      </c>
      <c r="F15" s="133"/>
      <c r="G15" s="116" t="s">
        <v>19</v>
      </c>
      <c r="H15" s="116" t="s">
        <v>20</v>
      </c>
      <c r="I15" s="110"/>
      <c r="J15" s="110"/>
      <c r="K15" s="110"/>
      <c r="L15" s="110"/>
      <c r="M15" s="110"/>
      <c r="N15" s="110"/>
      <c r="O15" s="110"/>
      <c r="P15" s="110"/>
      <c r="Q15" s="110"/>
      <c r="R15" s="110"/>
      <c r="S15" s="110"/>
      <c r="T15" s="110"/>
      <c r="U15" s="110"/>
      <c r="V15" s="110"/>
      <c r="W15" s="110"/>
      <c r="X15" s="110"/>
      <c r="Y15" s="110"/>
      <c r="Z15" s="110"/>
      <c r="AA15" s="110"/>
    </row>
    <row r="16" spans="1:27">
      <c r="A16" s="117" t="s">
        <v>21</v>
      </c>
      <c r="B16" s="117" t="s">
        <v>22</v>
      </c>
      <c r="C16" s="127" t="s">
        <v>23</v>
      </c>
      <c r="D16" s="127"/>
      <c r="E16" s="127" t="s">
        <v>24</v>
      </c>
      <c r="F16" s="127"/>
      <c r="G16" s="117" t="s">
        <v>25</v>
      </c>
      <c r="H16" s="117" t="s">
        <v>26</v>
      </c>
      <c r="I16" s="110"/>
      <c r="J16" s="110"/>
      <c r="K16" s="110"/>
      <c r="L16" s="110"/>
      <c r="M16" s="110"/>
      <c r="N16" s="110"/>
      <c r="O16" s="110"/>
      <c r="P16" s="110"/>
      <c r="Q16" s="110"/>
      <c r="R16" s="110"/>
      <c r="S16" s="110"/>
      <c r="T16" s="110"/>
      <c r="U16" s="110"/>
      <c r="V16" s="110"/>
      <c r="W16" s="110"/>
      <c r="X16" s="110"/>
      <c r="Y16" s="110"/>
      <c r="Z16" s="110"/>
      <c r="AA16" s="110"/>
    </row>
    <row r="17" spans="1:27" s="120" customFormat="1" ht="38.25" customHeight="1">
      <c r="A17" s="118">
        <v>45809</v>
      </c>
      <c r="B17" s="107">
        <v>1</v>
      </c>
      <c r="C17" s="135" t="s">
        <v>27</v>
      </c>
      <c r="D17" s="135"/>
      <c r="E17" s="135"/>
      <c r="F17" s="135"/>
      <c r="G17" s="107" t="s">
        <v>28</v>
      </c>
      <c r="H17" s="107" t="s">
        <v>29</v>
      </c>
      <c r="I17" s="119"/>
      <c r="J17" s="119"/>
      <c r="K17" s="119"/>
      <c r="L17" s="119"/>
      <c r="M17" s="119"/>
      <c r="N17" s="119"/>
      <c r="O17" s="119"/>
      <c r="P17" s="119"/>
      <c r="Q17" s="119"/>
      <c r="R17" s="119"/>
      <c r="S17" s="119"/>
      <c r="T17" s="119"/>
      <c r="U17" s="119"/>
      <c r="V17" s="119"/>
      <c r="W17" s="119"/>
      <c r="X17" s="119"/>
      <c r="Y17" s="119"/>
      <c r="Z17" s="119"/>
      <c r="AA17" s="119"/>
    </row>
    <row r="18" spans="1:27">
      <c r="A18" s="115"/>
      <c r="B18" s="114"/>
      <c r="C18" s="131"/>
      <c r="D18" s="131"/>
      <c r="E18" s="136"/>
      <c r="F18" s="136"/>
      <c r="G18" s="115"/>
      <c r="H18" s="115"/>
      <c r="I18" s="110"/>
      <c r="J18" s="110"/>
      <c r="K18" s="110"/>
      <c r="L18" s="110"/>
      <c r="M18" s="110"/>
      <c r="N18" s="110"/>
      <c r="O18" s="110"/>
      <c r="P18" s="110"/>
      <c r="Q18" s="110"/>
      <c r="R18" s="110"/>
      <c r="S18" s="110"/>
      <c r="T18" s="110"/>
      <c r="U18" s="110"/>
      <c r="V18" s="110"/>
      <c r="W18" s="110"/>
      <c r="X18" s="110"/>
      <c r="Y18" s="110"/>
      <c r="Z18" s="110"/>
      <c r="AA18" s="110"/>
    </row>
    <row r="19" spans="1:27">
      <c r="A19" s="110"/>
      <c r="B19" s="110"/>
      <c r="C19" s="110"/>
      <c r="D19" s="110"/>
      <c r="E19" s="110"/>
      <c r="F19" s="110"/>
      <c r="G19" s="110"/>
      <c r="H19" s="110"/>
      <c r="I19" s="110"/>
      <c r="J19" s="110"/>
      <c r="K19" s="110"/>
      <c r="L19" s="110"/>
      <c r="M19" s="110"/>
      <c r="N19" s="110"/>
      <c r="O19" s="110"/>
      <c r="P19" s="110"/>
      <c r="Q19" s="110"/>
      <c r="R19" s="110"/>
      <c r="S19" s="110"/>
    </row>
    <row r="20" spans="1:27">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row>
    <row r="21" spans="1:27">
      <c r="A21" s="132" t="s">
        <v>30</v>
      </c>
      <c r="B21" s="132"/>
      <c r="C21" s="132"/>
      <c r="D21" s="132"/>
      <c r="E21" s="132"/>
      <c r="F21" s="132"/>
      <c r="G21" s="132"/>
      <c r="H21" s="132"/>
      <c r="I21" s="110"/>
      <c r="J21" s="110"/>
      <c r="K21" s="110"/>
      <c r="L21" s="110"/>
      <c r="M21" s="110"/>
      <c r="N21" s="110"/>
      <c r="O21" s="110"/>
      <c r="P21" s="110"/>
      <c r="Q21" s="110"/>
      <c r="R21" s="110"/>
      <c r="S21" s="110"/>
      <c r="T21" s="110"/>
      <c r="U21" s="110"/>
      <c r="V21" s="110"/>
      <c r="W21" s="110"/>
      <c r="X21" s="110"/>
      <c r="Y21" s="110"/>
      <c r="Z21" s="110"/>
      <c r="AA21" s="110"/>
    </row>
    <row r="22" spans="1:27">
      <c r="A22" s="133" t="s">
        <v>31</v>
      </c>
      <c r="B22" s="133"/>
      <c r="C22" s="133" t="s">
        <v>30</v>
      </c>
      <c r="D22" s="133"/>
      <c r="E22" s="133"/>
      <c r="F22" s="133"/>
      <c r="G22" s="133" t="s">
        <v>32</v>
      </c>
      <c r="H22" s="133"/>
      <c r="I22" s="110"/>
      <c r="J22" s="110"/>
      <c r="K22" s="110"/>
      <c r="L22" s="110"/>
      <c r="M22" s="110"/>
      <c r="N22" s="110"/>
      <c r="O22" s="110"/>
      <c r="P22" s="110"/>
      <c r="Q22" s="110"/>
      <c r="R22" s="110"/>
      <c r="S22" s="110"/>
      <c r="T22" s="110"/>
      <c r="U22" s="110"/>
      <c r="V22" s="110"/>
      <c r="W22" s="110"/>
      <c r="X22" s="110"/>
      <c r="Y22" s="110"/>
      <c r="Z22" s="110"/>
      <c r="AA22" s="110"/>
    </row>
    <row r="23" spans="1:27">
      <c r="A23" s="127" t="s">
        <v>33</v>
      </c>
      <c r="B23" s="127"/>
      <c r="C23" s="127" t="s">
        <v>34</v>
      </c>
      <c r="D23" s="127"/>
      <c r="E23" s="127"/>
      <c r="F23" s="127"/>
      <c r="G23" s="134" t="s">
        <v>35</v>
      </c>
      <c r="H23" s="134"/>
      <c r="I23" s="110"/>
      <c r="J23" s="110"/>
      <c r="K23" s="110"/>
      <c r="L23" s="110"/>
      <c r="M23" s="110"/>
      <c r="N23" s="110"/>
      <c r="O23" s="110"/>
      <c r="P23" s="110"/>
      <c r="Q23" s="110"/>
      <c r="R23" s="110"/>
      <c r="S23" s="110"/>
      <c r="T23" s="110"/>
      <c r="U23" s="110"/>
      <c r="V23" s="110"/>
      <c r="W23" s="110"/>
      <c r="X23" s="110"/>
      <c r="Y23" s="110"/>
      <c r="Z23" s="110"/>
      <c r="AA23" s="110"/>
    </row>
    <row r="24" spans="1:27">
      <c r="A24" s="130"/>
      <c r="B24" s="130"/>
      <c r="C24" s="262"/>
      <c r="D24" s="262"/>
      <c r="E24" s="262"/>
      <c r="F24" s="262"/>
      <c r="G24" s="131"/>
      <c r="H24" s="131"/>
      <c r="I24" s="110"/>
      <c r="J24" s="110"/>
      <c r="K24" s="110"/>
      <c r="L24" s="110"/>
      <c r="M24" s="110"/>
      <c r="N24" s="110"/>
      <c r="O24" s="110"/>
      <c r="P24" s="110"/>
      <c r="Q24" s="110"/>
      <c r="R24" s="110"/>
      <c r="S24" s="110"/>
      <c r="T24" s="110"/>
      <c r="U24" s="110"/>
      <c r="V24" s="110"/>
      <c r="W24" s="110"/>
      <c r="X24" s="110"/>
      <c r="Y24" s="110"/>
      <c r="Z24" s="110"/>
      <c r="AA24" s="110"/>
    </row>
    <row r="25" spans="1:27">
      <c r="A25" s="130"/>
      <c r="B25" s="130"/>
      <c r="C25" s="262"/>
      <c r="D25" s="262"/>
      <c r="E25" s="262"/>
      <c r="F25" s="262"/>
      <c r="G25" s="131"/>
      <c r="H25" s="131"/>
      <c r="I25" s="110"/>
      <c r="J25" s="110"/>
      <c r="K25" s="110"/>
      <c r="L25" s="110"/>
      <c r="M25" s="110"/>
      <c r="N25" s="110"/>
      <c r="O25" s="110"/>
      <c r="P25" s="110"/>
      <c r="Q25" s="110"/>
      <c r="R25" s="110"/>
      <c r="S25" s="110"/>
      <c r="T25" s="110"/>
      <c r="U25" s="110"/>
      <c r="V25" s="110"/>
      <c r="W25" s="110"/>
      <c r="X25" s="110"/>
      <c r="Y25" s="110"/>
      <c r="Z25" s="110"/>
      <c r="AA25" s="110"/>
    </row>
    <row r="26" spans="1:27">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row>
    <row r="27" spans="1:27">
      <c r="A27" s="132" t="s">
        <v>9</v>
      </c>
      <c r="B27" s="132"/>
      <c r="C27" s="132"/>
      <c r="D27" s="132"/>
      <c r="E27" s="132"/>
      <c r="F27" s="132"/>
      <c r="G27" s="132"/>
      <c r="H27" s="132"/>
      <c r="I27" s="110"/>
      <c r="J27" s="110"/>
      <c r="K27" s="110"/>
      <c r="L27" s="110"/>
      <c r="M27" s="110"/>
      <c r="N27" s="110"/>
      <c r="O27" s="110"/>
      <c r="P27" s="110"/>
      <c r="Q27" s="110"/>
      <c r="R27" s="110"/>
      <c r="S27" s="110"/>
      <c r="T27" s="110"/>
      <c r="U27" s="110"/>
      <c r="V27" s="110"/>
      <c r="W27" s="110"/>
      <c r="X27" s="110"/>
      <c r="Y27" s="110"/>
      <c r="Z27" s="110"/>
      <c r="AA27" s="110"/>
    </row>
    <row r="28" spans="1:27">
      <c r="A28" s="116" t="s">
        <v>7</v>
      </c>
      <c r="B28" s="133" t="s">
        <v>36</v>
      </c>
      <c r="C28" s="133"/>
      <c r="D28" s="133"/>
      <c r="E28" s="133"/>
      <c r="F28" s="133" t="s">
        <v>37</v>
      </c>
      <c r="G28" s="133"/>
      <c r="H28" s="133"/>
      <c r="I28" s="110"/>
      <c r="J28" s="110"/>
      <c r="K28" s="110"/>
      <c r="L28" s="110"/>
      <c r="M28" s="110"/>
      <c r="N28" s="110"/>
      <c r="O28" s="110"/>
      <c r="P28" s="110"/>
      <c r="Q28" s="110"/>
      <c r="R28" s="110"/>
      <c r="S28" s="110"/>
      <c r="T28" s="110"/>
      <c r="U28" s="110"/>
      <c r="V28" s="110"/>
      <c r="W28" s="110"/>
      <c r="X28" s="110"/>
      <c r="Y28" s="110"/>
      <c r="Z28" s="110"/>
      <c r="AA28" s="110"/>
    </row>
    <row r="29" spans="1:27">
      <c r="A29" s="121" t="s">
        <v>38</v>
      </c>
      <c r="B29" s="127" t="s">
        <v>39</v>
      </c>
      <c r="C29" s="127"/>
      <c r="D29" s="127"/>
      <c r="E29" s="127"/>
      <c r="F29" s="127" t="s">
        <v>40</v>
      </c>
      <c r="G29" s="127"/>
      <c r="H29" s="127"/>
      <c r="I29" s="110"/>
      <c r="J29" s="110"/>
      <c r="K29" s="110"/>
      <c r="L29" s="110"/>
      <c r="M29" s="110"/>
      <c r="N29" s="110"/>
      <c r="O29" s="110"/>
      <c r="P29" s="110"/>
      <c r="Q29" s="110"/>
      <c r="R29" s="110"/>
      <c r="S29" s="110"/>
      <c r="T29" s="110"/>
      <c r="U29" s="110"/>
      <c r="V29" s="110"/>
      <c r="W29" s="110"/>
      <c r="X29" s="110"/>
      <c r="Y29" s="110"/>
      <c r="Z29" s="110"/>
      <c r="AA29" s="110"/>
    </row>
    <row r="30" spans="1:27">
      <c r="A30" s="121">
        <v>1</v>
      </c>
      <c r="B30" s="128"/>
      <c r="C30" s="128"/>
      <c r="D30" s="128"/>
      <c r="E30" s="128"/>
      <c r="F30" s="129"/>
      <c r="G30" s="129"/>
      <c r="H30" s="129"/>
      <c r="I30" s="110"/>
      <c r="J30" s="110"/>
      <c r="K30" s="110"/>
      <c r="L30" s="110"/>
      <c r="M30" s="110"/>
      <c r="N30" s="110"/>
      <c r="O30" s="110"/>
      <c r="P30" s="110"/>
      <c r="Q30" s="110"/>
      <c r="R30" s="110"/>
      <c r="S30" s="110"/>
      <c r="T30" s="110"/>
      <c r="U30" s="110"/>
      <c r="V30" s="110"/>
      <c r="W30" s="110"/>
      <c r="X30" s="110"/>
      <c r="Y30" s="110"/>
      <c r="Z30" s="110"/>
      <c r="AA30" s="110"/>
    </row>
    <row r="31" spans="1:27">
      <c r="A31" s="121">
        <v>2</v>
      </c>
      <c r="B31" s="124"/>
      <c r="C31" s="125"/>
      <c r="D31" s="125"/>
      <c r="E31" s="126"/>
      <c r="F31" s="124"/>
      <c r="G31" s="125"/>
      <c r="H31" s="126"/>
      <c r="I31" s="110"/>
      <c r="J31" s="110"/>
      <c r="K31" s="110"/>
      <c r="L31" s="110"/>
      <c r="M31" s="110"/>
      <c r="N31" s="110"/>
      <c r="O31" s="110"/>
      <c r="P31" s="110"/>
      <c r="Q31" s="110"/>
      <c r="R31" s="110"/>
      <c r="S31" s="110"/>
      <c r="T31" s="110"/>
      <c r="U31" s="110"/>
      <c r="V31" s="110"/>
      <c r="W31" s="110"/>
      <c r="X31" s="110"/>
      <c r="Y31" s="110"/>
      <c r="Z31" s="110"/>
      <c r="AA31" s="110"/>
    </row>
    <row r="32" spans="1:27">
      <c r="A32" s="121">
        <v>3</v>
      </c>
      <c r="B32" s="124"/>
      <c r="C32" s="125"/>
      <c r="D32" s="125"/>
      <c r="E32" s="126"/>
      <c r="F32" s="124"/>
      <c r="G32" s="125"/>
      <c r="H32" s="126"/>
      <c r="I32" s="110"/>
      <c r="J32" s="110"/>
      <c r="K32" s="110"/>
      <c r="L32" s="110"/>
      <c r="M32" s="110"/>
      <c r="N32" s="110"/>
      <c r="O32" s="110"/>
      <c r="P32" s="110"/>
      <c r="Q32" s="110"/>
      <c r="R32" s="110"/>
      <c r="S32" s="110"/>
      <c r="T32" s="110"/>
      <c r="U32" s="110"/>
      <c r="V32" s="110"/>
      <c r="W32" s="110"/>
      <c r="X32" s="110"/>
      <c r="Y32" s="110"/>
      <c r="Z32" s="110"/>
      <c r="AA32" s="110"/>
    </row>
    <row r="33" spans="1:27">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row>
    <row r="34" spans="1:27">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row>
    <row r="35" spans="1:27">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row>
    <row r="36" spans="1:27">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row>
    <row r="37" spans="1:2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row>
    <row r="38" spans="1:27">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row>
    <row r="39" spans="1:27">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row>
    <row r="40" spans="1:27">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row>
    <row r="41" spans="1:27">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row>
    <row r="42" spans="1:27">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row>
    <row r="43" spans="1:27">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row>
    <row r="44" spans="1:27">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row>
    <row r="45" spans="1:27">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row>
    <row r="46" spans="1:27">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row>
    <row r="47" spans="1:2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row>
    <row r="48" spans="1:27">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row>
    <row r="49" spans="1:27">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row>
    <row r="50" spans="1:27">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row>
    <row r="51" spans="1:27">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row>
    <row r="52" spans="1:27">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row>
    <row r="53" spans="1:27">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row>
    <row r="54" spans="1:27">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row>
    <row r="55" spans="1:27">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row>
    <row r="56" spans="1:27">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row>
    <row r="57" spans="1:2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row>
    <row r="58" spans="1:27">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row>
    <row r="59" spans="1:27">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row>
    <row r="60" spans="1:27">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row>
    <row r="61" spans="1:27">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row>
    <row r="62" spans="1:27">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row>
    <row r="63" spans="1:27">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row>
    <row r="64" spans="1:27">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row>
    <row r="65" spans="1:27">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row>
    <row r="66" spans="1:27">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row>
    <row r="67" spans="1:2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row>
    <row r="68" spans="1:27">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row>
    <row r="69" spans="1:27">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row>
    <row r="70" spans="1:27">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row>
    <row r="71" spans="1:27">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row>
    <row r="72" spans="1:27">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row>
    <row r="73" spans="1:27">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row>
    <row r="74" spans="1:27">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row>
    <row r="75" spans="1:27">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row>
    <row r="76" spans="1:27">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row>
    <row r="77" spans="1:2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row>
    <row r="78" spans="1:27">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row>
    <row r="79" spans="1:27">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row>
    <row r="80" spans="1:27">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row>
    <row r="81" spans="1:27">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row>
    <row r="82" spans="1:27">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row>
    <row r="83" spans="1:27">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row>
    <row r="84" spans="1:27">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row>
    <row r="85" spans="1:27">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row>
    <row r="86" spans="1:27">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row>
    <row r="87" spans="1:2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row>
    <row r="88" spans="1:27">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row>
    <row r="89" spans="1:27">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row>
    <row r="90" spans="1:27">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row>
    <row r="91" spans="1:27">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row>
    <row r="92" spans="1:27">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row>
    <row r="93" spans="1:27">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row>
    <row r="94" spans="1:27">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row>
    <row r="95" spans="1:27">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row>
    <row r="96" spans="1:27">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row>
    <row r="97" spans="1:2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row>
    <row r="98" spans="1:27">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row>
    <row r="99" spans="1:27">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row>
    <row r="100" spans="1:27">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row>
    <row r="101" spans="1:27">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row>
    <row r="102" spans="1:27">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row>
    <row r="103" spans="1:27">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row>
    <row r="104" spans="1:27">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row>
    <row r="105" spans="1:27">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row>
    <row r="106" spans="1:27">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row>
    <row r="107" spans="1:2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row>
    <row r="108" spans="1:27">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row>
    <row r="109" spans="1:27">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row>
    <row r="110" spans="1:27">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row>
    <row r="111" spans="1:27">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row>
    <row r="112" spans="1:27">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row>
    <row r="113" spans="1:27">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row>
    <row r="114" spans="1:27">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row>
    <row r="115" spans="1:27">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row>
    <row r="116" spans="1:27">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row>
    <row r="117" spans="1:2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row>
    <row r="118" spans="1:27">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row>
    <row r="119" spans="1:27">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row>
    <row r="120" spans="1:27">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row>
    <row r="121" spans="1:27">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row>
    <row r="122" spans="1:27">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row>
    <row r="123" spans="1:27">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row>
    <row r="124" spans="1:27">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row>
    <row r="125" spans="1:27">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row>
    <row r="126" spans="1:27">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row>
    <row r="127" spans="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row>
    <row r="128" spans="1:27">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row>
    <row r="129" spans="1:27">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row>
    <row r="130" spans="1:27">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row>
    <row r="131" spans="1:27">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row>
    <row r="132" spans="1:27">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row>
    <row r="133" spans="1:27">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row>
    <row r="134" spans="1:27">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row>
    <row r="135" spans="1:27">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row>
    <row r="136" spans="1:27">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row>
    <row r="137" spans="1:2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row>
    <row r="138" spans="1:27">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row>
    <row r="139" spans="1:27">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row>
    <row r="140" spans="1:27">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row>
    <row r="141" spans="1:27">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row>
    <row r="142" spans="1:27">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row>
    <row r="143" spans="1:27">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row>
    <row r="144" spans="1:27">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row>
    <row r="145" spans="1:27">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row>
    <row r="146" spans="1:27">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row>
    <row r="147" spans="1:2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row>
    <row r="148" spans="1:27">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row>
    <row r="149" spans="1:27">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row>
    <row r="150" spans="1:27">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row>
    <row r="151" spans="1:27">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row>
    <row r="152" spans="1:27">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row>
    <row r="153" spans="1:27">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row>
    <row r="154" spans="1:27">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row>
    <row r="155" spans="1:27">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row>
    <row r="156" spans="1:27">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row>
    <row r="157" spans="1:2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row>
    <row r="158" spans="1:27">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row>
    <row r="159" spans="1:27">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row>
    <row r="160" spans="1:27">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row>
    <row r="161" spans="1:27">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row>
    <row r="162" spans="1:27">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row>
    <row r="163" spans="1:27">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row>
    <row r="164" spans="1:27">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row>
    <row r="165" spans="1:27">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row>
    <row r="166" spans="1:27">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row>
    <row r="167" spans="1:2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row>
    <row r="168" spans="1:27">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row>
    <row r="169" spans="1:27">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row>
    <row r="170" spans="1:27">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row>
    <row r="171" spans="1:27">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row>
    <row r="172" spans="1:27">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row>
    <row r="173" spans="1:27">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row>
    <row r="174" spans="1:27">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row>
    <row r="175" spans="1:27">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row>
    <row r="176" spans="1:27">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row>
    <row r="177" spans="1:2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row>
    <row r="178" spans="1:27">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row>
    <row r="179" spans="1:27">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row>
    <row r="180" spans="1:27">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row>
    <row r="181" spans="1:27">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row>
    <row r="182" spans="1:27">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row>
    <row r="183" spans="1:27">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row>
    <row r="184" spans="1:27">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row>
    <row r="185" spans="1:27">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row>
    <row r="186" spans="1:27">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row>
    <row r="187" spans="1:2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row>
    <row r="188" spans="1:27">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row>
    <row r="189" spans="1:27">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row>
    <row r="190" spans="1:27">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row>
    <row r="191" spans="1:27">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row>
    <row r="192" spans="1:27">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row>
    <row r="193" spans="1:27">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row>
    <row r="194" spans="1:27">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row>
    <row r="195" spans="1:27">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row>
    <row r="196" spans="1:27">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row>
    <row r="197" spans="1:2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row>
    <row r="198" spans="1:27">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row>
    <row r="199" spans="1:27">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row>
    <row r="200" spans="1:27">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row>
    <row r="201" spans="1:27">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row>
    <row r="202" spans="1:27">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row>
    <row r="203" spans="1:27">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row>
    <row r="204" spans="1:27">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row>
    <row r="205" spans="1:27">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row>
    <row r="206" spans="1:27">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row>
    <row r="207" spans="1:2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row>
    <row r="208" spans="1:27">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row>
    <row r="209" spans="1:27">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row>
    <row r="210" spans="1:27">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row>
    <row r="211" spans="1:27">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row>
    <row r="212" spans="1:27">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row>
    <row r="213" spans="1:27">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row>
    <row r="214" spans="1:27">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row>
    <row r="215" spans="1:27">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row>
    <row r="216" spans="1:27">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row>
    <row r="217" spans="1:2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row>
    <row r="218" spans="1:27">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row>
    <row r="219" spans="1:27">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row>
    <row r="220" spans="1:27">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row>
    <row r="221" spans="1:27">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row>
    <row r="222" spans="1:27">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row>
    <row r="223" spans="1:27">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row>
    <row r="224" spans="1:27">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row>
    <row r="225" spans="1:27">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row>
    <row r="226" spans="1:27">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row>
    <row r="227" spans="1: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row>
    <row r="228" spans="1:27">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row>
    <row r="229" spans="1:27">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row>
    <row r="230" spans="1:27">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row>
    <row r="231" spans="1:27">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row>
    <row r="232" spans="1:27">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row>
    <row r="233" spans="1:27">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row>
    <row r="234" spans="1:27">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row>
    <row r="235" spans="1:27">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row>
    <row r="236" spans="1:27">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row>
    <row r="237" spans="1:2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row>
    <row r="238" spans="1:27">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row>
    <row r="239" spans="1:27">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row>
    <row r="240" spans="1:27">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row>
    <row r="241" spans="1:27">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row>
    <row r="242" spans="1:27">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row>
    <row r="243" spans="1:27">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row>
    <row r="244" spans="1:27">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row>
    <row r="245" spans="1:27">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row>
    <row r="246" spans="1:27">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row>
    <row r="247" spans="1:2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row>
    <row r="248" spans="1:27">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row>
    <row r="249" spans="1:27">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row>
    <row r="250" spans="1:27">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row>
    <row r="251" spans="1:27">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row>
    <row r="252" spans="1:27">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row>
    <row r="253" spans="1:27">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row>
    <row r="254" spans="1:27">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row>
    <row r="255" spans="1:27">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row>
    <row r="256" spans="1:27">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row>
    <row r="257" spans="1:2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row>
    <row r="258" spans="1:27">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row>
    <row r="259" spans="1:27">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row>
    <row r="260" spans="1:27">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row>
    <row r="261" spans="1:27">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row>
    <row r="262" spans="1:27">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row>
    <row r="263" spans="1:27">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row>
    <row r="264" spans="1:27">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row>
    <row r="265" spans="1:27">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row>
    <row r="266" spans="1:27">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row>
    <row r="267" spans="1:2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row>
    <row r="268" spans="1:27">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row>
    <row r="269" spans="1:27">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row>
    <row r="270" spans="1:27">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row>
    <row r="271" spans="1:27">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row>
    <row r="272" spans="1:27">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row>
    <row r="273" spans="1:27">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row>
    <row r="274" spans="1:27">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row>
    <row r="275" spans="1:27">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row>
    <row r="276" spans="1:27">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row>
    <row r="277" spans="1:2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row>
    <row r="278" spans="1:27">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row>
    <row r="279" spans="1:27">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row>
    <row r="280" spans="1:27">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row>
    <row r="281" spans="1:27">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row>
    <row r="282" spans="1:27">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row>
    <row r="283" spans="1:27">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row>
    <row r="284" spans="1:27">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row>
    <row r="285" spans="1:27">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row>
    <row r="286" spans="1:27">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row>
    <row r="287" spans="1:2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row>
    <row r="288" spans="1:27">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row>
    <row r="289" spans="1:27">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row>
    <row r="290" spans="1:27">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row>
    <row r="291" spans="1:27">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row>
    <row r="292" spans="1:27">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row>
    <row r="293" spans="1:27">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row>
    <row r="294" spans="1:27">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row>
    <row r="295" spans="1:27">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row>
    <row r="296" spans="1:27">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row>
    <row r="297" spans="1:2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row>
    <row r="298" spans="1:27">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row>
    <row r="299" spans="1:27">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row>
    <row r="300" spans="1:27">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row>
    <row r="301" spans="1:27">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row>
    <row r="302" spans="1:27">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row>
    <row r="303" spans="1:27">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row>
    <row r="304" spans="1:27">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row>
    <row r="305" spans="1:27">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row>
    <row r="306" spans="1:27">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row>
    <row r="307" spans="1:2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row>
    <row r="308" spans="1:27">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row>
    <row r="309" spans="1:27">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row>
    <row r="310" spans="1:27">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row>
    <row r="311" spans="1:27">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row>
    <row r="312" spans="1:27">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row>
    <row r="313" spans="1:27">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row>
    <row r="314" spans="1:27">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row>
    <row r="315" spans="1:27">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row>
    <row r="316" spans="1:27">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row>
    <row r="317" spans="1:2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row>
    <row r="318" spans="1:27">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row>
    <row r="319" spans="1:27">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row>
    <row r="320" spans="1:27">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row>
    <row r="321" spans="1:27">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row>
    <row r="322" spans="1:27">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row>
    <row r="323" spans="1:27">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row>
    <row r="324" spans="1:27">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row>
    <row r="325" spans="1:27">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row>
    <row r="326" spans="1:27">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row>
    <row r="327" spans="1: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row>
    <row r="328" spans="1:27">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row>
    <row r="329" spans="1:27">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row>
    <row r="330" spans="1:27">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row>
    <row r="331" spans="1:27">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row>
    <row r="332" spans="1:27">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row>
    <row r="333" spans="1:27">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row>
    <row r="334" spans="1:27">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row>
    <row r="335" spans="1:27">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row>
    <row r="336" spans="1:27">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row>
    <row r="337" spans="1:2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row>
    <row r="338" spans="1:27">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row>
    <row r="339" spans="1:27">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row>
    <row r="340" spans="1:27">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row>
    <row r="341" spans="1:27">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row>
    <row r="342" spans="1:27">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row>
    <row r="343" spans="1:27">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row>
    <row r="344" spans="1:27">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row>
    <row r="345" spans="1:27">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row>
    <row r="346" spans="1:27">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row>
    <row r="347" spans="1:2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row>
    <row r="348" spans="1:27">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row>
    <row r="349" spans="1:27">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row>
    <row r="350" spans="1:27">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row>
    <row r="351" spans="1:27">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row>
    <row r="352" spans="1:27">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row>
    <row r="353" spans="1:27">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row>
    <row r="354" spans="1:27">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row>
    <row r="355" spans="1:27">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row>
    <row r="356" spans="1:27">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row>
    <row r="357" spans="1:2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row>
    <row r="358" spans="1:27">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row>
    <row r="359" spans="1:27">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row>
    <row r="360" spans="1:27">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row>
    <row r="361" spans="1:27">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row>
    <row r="362" spans="1:27">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row>
    <row r="363" spans="1:27">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row>
    <row r="364" spans="1:27">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row>
    <row r="365" spans="1:27">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row>
    <row r="366" spans="1:27">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row>
    <row r="367" spans="1:2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row>
    <row r="368" spans="1:27">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row>
    <row r="369" spans="1:27">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row>
    <row r="370" spans="1:27">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row>
    <row r="371" spans="1:27">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row>
    <row r="372" spans="1:27">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row>
    <row r="373" spans="1:27">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row>
    <row r="374" spans="1:27">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row>
    <row r="375" spans="1:27">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row>
    <row r="376" spans="1:27">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row>
    <row r="377" spans="1:2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row>
    <row r="378" spans="1:27">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row>
    <row r="379" spans="1:27">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row>
    <row r="380" spans="1:27">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row>
    <row r="381" spans="1:27">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row>
    <row r="382" spans="1:27">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row>
    <row r="383" spans="1:27">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row>
    <row r="384" spans="1:27">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row>
    <row r="385" spans="1:27">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row>
    <row r="386" spans="1:27">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row>
    <row r="387" spans="1:2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row>
    <row r="388" spans="1:27">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row>
    <row r="389" spans="1:27">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row>
    <row r="390" spans="1:27">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row>
    <row r="391" spans="1:27">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row>
    <row r="392" spans="1:27">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row>
    <row r="393" spans="1:27">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row>
    <row r="394" spans="1:27">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row>
    <row r="395" spans="1:27">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row>
    <row r="396" spans="1:27">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row>
    <row r="397" spans="1:2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row>
    <row r="398" spans="1:27">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row>
    <row r="399" spans="1:27">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row>
    <row r="400" spans="1:27">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row>
    <row r="401" spans="1:27">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row>
    <row r="402" spans="1:27">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row>
    <row r="403" spans="1:27">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row>
    <row r="404" spans="1:27">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row>
    <row r="405" spans="1:27">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row>
    <row r="406" spans="1:27">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row>
    <row r="407" spans="1:2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row>
    <row r="408" spans="1:27">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row>
    <row r="409" spans="1:27">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row>
    <row r="410" spans="1:27">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row>
    <row r="411" spans="1:27">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row>
    <row r="412" spans="1:27">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row>
    <row r="413" spans="1:27">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row>
    <row r="414" spans="1:27">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row>
    <row r="415" spans="1:27">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row>
    <row r="416" spans="1:27">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row>
    <row r="417" spans="1:2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row>
    <row r="418" spans="1:27">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row>
    <row r="419" spans="1:27">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row>
    <row r="420" spans="1:27">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row>
    <row r="421" spans="1:27">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row>
    <row r="422" spans="1:27">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row>
    <row r="423" spans="1:27">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row>
    <row r="424" spans="1:27">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row>
    <row r="425" spans="1:27">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row>
    <row r="426" spans="1:27">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row>
    <row r="427" spans="1: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row>
    <row r="428" spans="1:27">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row>
    <row r="429" spans="1:27">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row>
    <row r="430" spans="1:27">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row>
    <row r="431" spans="1:27">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row>
    <row r="432" spans="1:27">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row>
    <row r="433" spans="1:27">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row>
    <row r="434" spans="1:27">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row>
    <row r="435" spans="1:27">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row>
    <row r="436" spans="1:27">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row>
    <row r="437" spans="1:2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row>
    <row r="438" spans="1:27">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row>
    <row r="439" spans="1:27">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row>
    <row r="440" spans="1:27">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row>
    <row r="441" spans="1:27">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row>
    <row r="442" spans="1:27">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row>
    <row r="443" spans="1:27">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row>
    <row r="444" spans="1:27">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row>
    <row r="445" spans="1:27">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row>
    <row r="446" spans="1:27">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row>
    <row r="447" spans="1:2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row>
    <row r="448" spans="1:27">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row>
    <row r="449" spans="1:27">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row>
    <row r="450" spans="1:27">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row>
    <row r="451" spans="1:27">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row>
    <row r="452" spans="1:27">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row>
    <row r="453" spans="1:27">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row>
    <row r="454" spans="1:27">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row>
    <row r="455" spans="1:27">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row>
    <row r="456" spans="1:27">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row>
    <row r="457" spans="1:2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row>
    <row r="458" spans="1:27">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row>
    <row r="459" spans="1:27">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row>
    <row r="460" spans="1:27">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row>
    <row r="461" spans="1:27">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row>
    <row r="462" spans="1:27">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row>
    <row r="463" spans="1:27">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row>
    <row r="464" spans="1:27">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row>
    <row r="465" spans="1:27">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row>
    <row r="466" spans="1:27">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row>
    <row r="467" spans="1:2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row>
    <row r="468" spans="1:27">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row>
    <row r="469" spans="1:27">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row>
    <row r="470" spans="1:27">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row>
    <row r="471" spans="1:27">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row>
    <row r="472" spans="1:27">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row>
    <row r="473" spans="1:27">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row>
    <row r="474" spans="1:27">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row>
    <row r="475" spans="1:27">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row>
    <row r="476" spans="1:27">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row>
    <row r="477" spans="1:2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row>
    <row r="478" spans="1:27">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row>
    <row r="479" spans="1:27">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row>
    <row r="480" spans="1:27">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row>
    <row r="481" spans="1:27">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row>
    <row r="482" spans="1:27">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row>
    <row r="483" spans="1:27">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row>
    <row r="484" spans="1:27">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row>
    <row r="485" spans="1:27">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row>
    <row r="486" spans="1:27">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row>
    <row r="487" spans="1:2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row>
    <row r="488" spans="1:27">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row>
    <row r="489" spans="1:27">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row>
    <row r="490" spans="1:27">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row>
    <row r="491" spans="1:27">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row>
    <row r="492" spans="1:27">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row>
    <row r="493" spans="1:27">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row>
    <row r="494" spans="1:27">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row>
    <row r="495" spans="1:27">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row>
    <row r="496" spans="1:27">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row>
    <row r="497" spans="1:2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row>
    <row r="498" spans="1:27">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row>
    <row r="499" spans="1:27">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row>
    <row r="500" spans="1:27">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row>
    <row r="501" spans="1:27">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row>
    <row r="502" spans="1:27">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row>
    <row r="503" spans="1:27">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row>
    <row r="504" spans="1:27">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row>
    <row r="505" spans="1:27">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row>
    <row r="506" spans="1:27">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row>
    <row r="507" spans="1:2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row>
    <row r="508" spans="1:27">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row>
    <row r="509" spans="1:27">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row>
    <row r="510" spans="1:27">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row>
    <row r="511" spans="1:27">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row>
    <row r="512" spans="1:27">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row>
    <row r="513" spans="1:27">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row>
    <row r="514" spans="1:27">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row>
    <row r="515" spans="1:27">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row>
    <row r="516" spans="1:27">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row>
    <row r="517" spans="1:2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row>
    <row r="518" spans="1:27">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row>
    <row r="519" spans="1:27">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row>
    <row r="520" spans="1:27">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row>
    <row r="521" spans="1:27">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row>
    <row r="522" spans="1:27">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row>
    <row r="523" spans="1:27">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row>
    <row r="524" spans="1:27">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row>
    <row r="525" spans="1:27">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row>
    <row r="526" spans="1:27">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row>
    <row r="527" spans="1: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row>
    <row r="528" spans="1:27">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row>
    <row r="529" spans="1:27">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row>
    <row r="530" spans="1:27">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row>
    <row r="531" spans="1:27">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row>
    <row r="532" spans="1:27">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row>
    <row r="533" spans="1:27">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row>
    <row r="534" spans="1:27">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row>
    <row r="535" spans="1:27">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row>
    <row r="536" spans="1:27">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row>
    <row r="537" spans="1:2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row>
    <row r="538" spans="1:27">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row>
    <row r="539" spans="1:27">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row>
    <row r="540" spans="1:27">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row>
    <row r="541" spans="1:27">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row>
    <row r="542" spans="1:27">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row>
    <row r="543" spans="1:27">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row>
    <row r="544" spans="1:27">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row>
    <row r="545" spans="1:27">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row>
    <row r="546" spans="1:27">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row>
    <row r="547" spans="1:2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row>
    <row r="548" spans="1:27">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row>
    <row r="549" spans="1:27">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row>
    <row r="550" spans="1:27">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row>
    <row r="551" spans="1:27">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row>
    <row r="552" spans="1:27">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row>
    <row r="553" spans="1:27">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row>
    <row r="554" spans="1:27">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row>
    <row r="555" spans="1:27">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row>
    <row r="556" spans="1:27">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row>
    <row r="557" spans="1:2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row>
    <row r="558" spans="1:27">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row>
    <row r="559" spans="1:27">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row>
    <row r="560" spans="1:27">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row>
    <row r="561" spans="1:27">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row>
    <row r="562" spans="1:27">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row>
    <row r="563" spans="1:27">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row>
    <row r="564" spans="1:27">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row>
    <row r="565" spans="1:27">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row>
    <row r="566" spans="1:27">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row>
    <row r="567" spans="1:2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row>
    <row r="568" spans="1:27">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row>
    <row r="569" spans="1:27">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row>
    <row r="570" spans="1:27">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row>
    <row r="571" spans="1:27">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row>
    <row r="572" spans="1:27">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row>
    <row r="573" spans="1:27">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row>
    <row r="574" spans="1:27">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row>
    <row r="575" spans="1:27">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row>
    <row r="576" spans="1:27">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row>
    <row r="577" spans="1:2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row>
    <row r="578" spans="1:27">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row>
    <row r="579" spans="1:27">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row>
    <row r="580" spans="1:27">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row>
    <row r="581" spans="1:27">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row>
    <row r="582" spans="1:27">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row>
    <row r="583" spans="1:27">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row>
    <row r="584" spans="1:27">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row>
    <row r="585" spans="1:27">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row>
    <row r="586" spans="1:27">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row>
    <row r="587" spans="1:2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row>
    <row r="588" spans="1:27">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row>
    <row r="589" spans="1:27">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row>
    <row r="590" spans="1:27">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row>
    <row r="591" spans="1:27">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row>
    <row r="592" spans="1:27">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row>
    <row r="593" spans="1:27">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row>
    <row r="594" spans="1:27">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row>
    <row r="595" spans="1:27">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row>
    <row r="596" spans="1:27">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row>
    <row r="597" spans="1:2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row>
    <row r="598" spans="1:27">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row>
    <row r="599" spans="1:27">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row>
    <row r="600" spans="1:27">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row>
    <row r="601" spans="1:27">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row>
    <row r="602" spans="1:27">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row>
    <row r="603" spans="1:27">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row>
    <row r="604" spans="1:27">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row>
    <row r="605" spans="1:27">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row>
    <row r="606" spans="1:27">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row>
    <row r="607" spans="1:2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row>
    <row r="608" spans="1:27">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row>
    <row r="609" spans="1:27">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row>
    <row r="610" spans="1:27">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row>
    <row r="611" spans="1:27">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row>
    <row r="612" spans="1:27">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row>
    <row r="613" spans="1:27">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row>
    <row r="614" spans="1:27">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row>
    <row r="615" spans="1:27">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row>
    <row r="616" spans="1:27">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row>
    <row r="617" spans="1:2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row>
    <row r="618" spans="1:27">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row>
    <row r="619" spans="1:27">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row>
    <row r="620" spans="1:27">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row>
    <row r="621" spans="1:27">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row>
    <row r="622" spans="1:27">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row>
    <row r="623" spans="1:27">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row>
    <row r="624" spans="1:27">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row>
    <row r="625" spans="1:27">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row>
    <row r="626" spans="1:27">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row>
    <row r="627" spans="1: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row>
    <row r="628" spans="1:27">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row>
    <row r="629" spans="1:27">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row>
    <row r="630" spans="1:27">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row>
    <row r="631" spans="1:27">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row>
    <row r="632" spans="1:27">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row>
    <row r="633" spans="1:27">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row>
    <row r="634" spans="1:27">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row>
    <row r="635" spans="1:27">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row>
    <row r="636" spans="1:27">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row>
    <row r="637" spans="1:2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row>
    <row r="638" spans="1:27">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row>
    <row r="639" spans="1:27">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row>
    <row r="640" spans="1:27">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row>
    <row r="641" spans="1:27">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row>
    <row r="642" spans="1:27">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row>
    <row r="643" spans="1:27">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row>
    <row r="644" spans="1:27">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row>
    <row r="645" spans="1:27">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row>
    <row r="646" spans="1:27">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row>
    <row r="647" spans="1:2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row>
    <row r="648" spans="1:27">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row>
    <row r="649" spans="1:27">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row>
    <row r="650" spans="1:27">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row>
    <row r="651" spans="1:27">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row>
    <row r="652" spans="1:27">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row>
    <row r="653" spans="1:27">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row>
    <row r="654" spans="1:27">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row>
    <row r="655" spans="1:27">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row>
    <row r="656" spans="1:27">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row>
    <row r="657" spans="1:2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row>
    <row r="658" spans="1:27">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row>
    <row r="659" spans="1:27">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row>
    <row r="660" spans="1:27">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row>
    <row r="661" spans="1:27">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row>
    <row r="662" spans="1:27">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row>
    <row r="663" spans="1:27">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row>
    <row r="664" spans="1:27">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row>
    <row r="665" spans="1:27">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row>
    <row r="666" spans="1:27">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row>
    <row r="667" spans="1:2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row>
    <row r="668" spans="1:27">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row>
    <row r="669" spans="1:27">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row>
    <row r="670" spans="1:27">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row>
    <row r="671" spans="1:27">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row>
    <row r="672" spans="1:27">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row>
    <row r="673" spans="1:27">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row>
    <row r="674" spans="1:27">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row>
    <row r="675" spans="1:27">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row>
    <row r="676" spans="1:27">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row>
    <row r="677" spans="1:2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row>
    <row r="678" spans="1:27">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row>
    <row r="679" spans="1:27">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row>
    <row r="680" spans="1:27">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row>
    <row r="681" spans="1:27">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row>
    <row r="682" spans="1:27">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row>
    <row r="683" spans="1:27">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row>
    <row r="684" spans="1:27">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row>
    <row r="685" spans="1:27">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row>
    <row r="686" spans="1:27">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row>
    <row r="687" spans="1:2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row>
    <row r="688" spans="1:27">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row>
    <row r="689" spans="1:27">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row>
    <row r="690" spans="1:27">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row>
    <row r="691" spans="1:27">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row>
    <row r="692" spans="1:27">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row>
    <row r="693" spans="1:27">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row>
    <row r="694" spans="1:27">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row>
    <row r="695" spans="1:27">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row>
    <row r="696" spans="1:27">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row>
    <row r="697" spans="1:2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row>
    <row r="698" spans="1:27">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row>
    <row r="699" spans="1:27">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row>
    <row r="700" spans="1:27">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row>
    <row r="701" spans="1:27">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row>
    <row r="702" spans="1:27">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row>
    <row r="703" spans="1:27">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row>
    <row r="704" spans="1:27">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row>
    <row r="705" spans="1:27">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row>
    <row r="706" spans="1:27">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row>
    <row r="707" spans="1:2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row>
    <row r="708" spans="1:27">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row>
    <row r="709" spans="1:27">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row>
    <row r="710" spans="1:27">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row>
    <row r="711" spans="1:27">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row>
    <row r="712" spans="1:27">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row>
    <row r="713" spans="1:27">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row>
    <row r="714" spans="1:27">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row>
    <row r="715" spans="1:27">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row>
    <row r="716" spans="1:27">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row>
    <row r="717" spans="1:2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row>
    <row r="718" spans="1:27">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row>
    <row r="719" spans="1:27">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row>
    <row r="720" spans="1:27">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row>
    <row r="721" spans="1:27">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row>
    <row r="722" spans="1:27">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row>
    <row r="723" spans="1:27">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row>
    <row r="724" spans="1:27">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row>
    <row r="725" spans="1:27">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row>
    <row r="726" spans="1:27">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row>
    <row r="727" spans="1: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row>
    <row r="728" spans="1:27">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row>
    <row r="729" spans="1:27">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row>
    <row r="730" spans="1:27">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row>
    <row r="731" spans="1:27">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row>
    <row r="732" spans="1:27">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row>
    <row r="733" spans="1:27">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row>
    <row r="734" spans="1:27">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row>
    <row r="735" spans="1:27">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row>
    <row r="736" spans="1:27">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row>
    <row r="737" spans="1:2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row>
    <row r="738" spans="1:27">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row>
    <row r="739" spans="1:27">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row>
    <row r="740" spans="1:27">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row>
    <row r="741" spans="1:27">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row>
    <row r="742" spans="1:27">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row>
    <row r="743" spans="1:27">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row>
    <row r="744" spans="1:27">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row>
    <row r="745" spans="1:27">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row>
    <row r="746" spans="1:27">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row>
    <row r="747" spans="1:2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row>
    <row r="748" spans="1:27">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row>
    <row r="749" spans="1:27">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row>
    <row r="750" spans="1:27">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row>
    <row r="751" spans="1:27">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row>
    <row r="752" spans="1:27">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row>
    <row r="753" spans="1:27">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row>
    <row r="754" spans="1:27">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row>
    <row r="755" spans="1:27">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row>
    <row r="756" spans="1:27">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row>
    <row r="757" spans="1:2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row>
    <row r="758" spans="1:27">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row>
    <row r="759" spans="1:27">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row>
    <row r="760" spans="1:27">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row>
    <row r="761" spans="1:27">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row>
    <row r="762" spans="1:27">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row>
    <row r="763" spans="1:27">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row>
    <row r="764" spans="1:27">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row>
    <row r="765" spans="1:27">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row>
    <row r="766" spans="1:27">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row>
    <row r="767" spans="1:2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row>
    <row r="768" spans="1:27">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row>
    <row r="769" spans="1:27">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row>
    <row r="770" spans="1:27">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row>
    <row r="771" spans="1:27">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row>
    <row r="772" spans="1:27">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row>
    <row r="773" spans="1:27">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row>
    <row r="774" spans="1:27">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row>
    <row r="775" spans="1:27">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row>
    <row r="776" spans="1:27">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row>
    <row r="777" spans="1:2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row>
    <row r="778" spans="1:27">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row>
    <row r="779" spans="1:27">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row>
    <row r="780" spans="1:27">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row>
    <row r="781" spans="1:27">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row>
    <row r="782" spans="1:27">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row>
    <row r="783" spans="1:27">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row>
    <row r="784" spans="1:27">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row>
    <row r="785" spans="1:27">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row>
    <row r="786" spans="1:27">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row>
    <row r="787" spans="1:2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row>
    <row r="788" spans="1:27">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row>
    <row r="789" spans="1:27">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row>
    <row r="790" spans="1:27">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row>
    <row r="791" spans="1:27">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row>
    <row r="792" spans="1:27">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row>
    <row r="793" spans="1:27">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row>
    <row r="794" spans="1:27">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row>
    <row r="795" spans="1:27">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row>
    <row r="796" spans="1:27">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row>
    <row r="797" spans="1:2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row>
    <row r="798" spans="1:27">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row>
    <row r="799" spans="1:27">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row>
    <row r="800" spans="1:27">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row>
    <row r="801" spans="1:27">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row>
    <row r="802" spans="1:27">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row>
    <row r="803" spans="1:27">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row>
    <row r="804" spans="1:27">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row>
    <row r="805" spans="1:27">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row>
    <row r="806" spans="1:27">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row>
    <row r="807" spans="1:2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row>
    <row r="808" spans="1:27">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row>
    <row r="809" spans="1:27">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row>
    <row r="810" spans="1:27">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row>
    <row r="811" spans="1:27">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row>
    <row r="812" spans="1:27">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row>
    <row r="813" spans="1:27">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row>
    <row r="814" spans="1:27">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row>
    <row r="815" spans="1:27">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row>
    <row r="816" spans="1:27">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row>
    <row r="817" spans="1:2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row>
    <row r="818" spans="1:27">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row>
    <row r="819" spans="1:27">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row>
    <row r="820" spans="1:27">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row>
    <row r="821" spans="1:27">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row>
    <row r="822" spans="1:27">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row>
    <row r="823" spans="1:27">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row>
    <row r="824" spans="1:27">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row>
    <row r="825" spans="1:27">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row>
    <row r="826" spans="1:27">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row>
    <row r="827" spans="1: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row>
    <row r="828" spans="1:27">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row>
    <row r="829" spans="1:27">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row>
    <row r="830" spans="1:27">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row>
    <row r="831" spans="1:27">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row>
    <row r="832" spans="1:27">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row>
    <row r="833" spans="1:27">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row>
    <row r="834" spans="1:27">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row>
    <row r="835" spans="1:27">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row>
    <row r="836" spans="1:27">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row>
    <row r="837" spans="1:2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row>
    <row r="838" spans="1:27">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row>
    <row r="839" spans="1:27">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row>
    <row r="840" spans="1:27">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row>
    <row r="841" spans="1:27">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row>
    <row r="842" spans="1:27">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row>
    <row r="843" spans="1:27">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row>
    <row r="844" spans="1:27">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row>
    <row r="845" spans="1:27">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row>
    <row r="846" spans="1:27">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row>
    <row r="847" spans="1:2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row>
    <row r="848" spans="1:27">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row>
    <row r="849" spans="1:27">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row>
    <row r="850" spans="1:27">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row>
    <row r="851" spans="1:27">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row>
    <row r="852" spans="1:27">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row>
    <row r="853" spans="1:27">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row>
    <row r="854" spans="1:27">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row>
    <row r="855" spans="1:27">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row>
    <row r="856" spans="1:27">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row>
    <row r="857" spans="1:2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row>
    <row r="858" spans="1:27">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row>
    <row r="859" spans="1:27">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row>
    <row r="860" spans="1:27">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row>
    <row r="861" spans="1:27">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row>
    <row r="862" spans="1:27">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row>
    <row r="863" spans="1:27">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row>
    <row r="864" spans="1:27">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row>
    <row r="865" spans="1:27">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row>
    <row r="866" spans="1:27">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row>
    <row r="867" spans="1:2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row>
    <row r="868" spans="1:27">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row>
    <row r="869" spans="1:27">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row>
    <row r="870" spans="1:27">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row>
    <row r="871" spans="1:27">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row>
    <row r="872" spans="1:27">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row>
    <row r="873" spans="1:27">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row>
    <row r="874" spans="1:27">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row>
    <row r="875" spans="1:27">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row>
    <row r="876" spans="1:27">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row>
    <row r="877" spans="1:2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row>
    <row r="878" spans="1:27">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row>
    <row r="879" spans="1:27">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row>
    <row r="880" spans="1:27">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row>
    <row r="881" spans="1:27">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row>
    <row r="882" spans="1:27">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row>
    <row r="883" spans="1:27">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row>
    <row r="884" spans="1:27">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row>
    <row r="885" spans="1:27">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row>
    <row r="886" spans="1:27">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row>
    <row r="887" spans="1:2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row>
    <row r="888" spans="1:27">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row>
    <row r="889" spans="1:27">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row>
    <row r="890" spans="1:27">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row>
    <row r="891" spans="1:27">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row>
    <row r="892" spans="1:27">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row>
    <row r="893" spans="1:27">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row>
    <row r="894" spans="1:27">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row>
    <row r="895" spans="1:27">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row>
    <row r="896" spans="1:27">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row>
    <row r="897" spans="1:2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row>
    <row r="898" spans="1:27">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row>
    <row r="899" spans="1:27">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row>
    <row r="900" spans="1:27">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row>
    <row r="901" spans="1:27">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row>
    <row r="902" spans="1:27">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row>
    <row r="903" spans="1:27">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row>
    <row r="904" spans="1:27">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row>
    <row r="905" spans="1:27">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row>
    <row r="906" spans="1:27">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row>
    <row r="907" spans="1:2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row>
    <row r="908" spans="1:27">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row>
    <row r="909" spans="1:27">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row>
    <row r="910" spans="1:27">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row>
    <row r="911" spans="1:27">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row>
    <row r="912" spans="1:27">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row>
    <row r="913" spans="1:27">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row>
    <row r="914" spans="1:27">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row>
    <row r="915" spans="1:27">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row>
    <row r="916" spans="1:27">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row>
    <row r="917" spans="1:2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row>
    <row r="918" spans="1:27">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row>
    <row r="919" spans="1:27">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row>
    <row r="920" spans="1:27">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row>
    <row r="921" spans="1:27">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row>
    <row r="922" spans="1:27">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row>
    <row r="923" spans="1:27">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row>
    <row r="924" spans="1:27">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row>
    <row r="925" spans="1:27">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row>
    <row r="926" spans="1:27">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row>
    <row r="927" spans="1: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row>
    <row r="928" spans="1:27">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row>
    <row r="929" spans="1:27">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row>
    <row r="930" spans="1:27">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row>
    <row r="931" spans="1:27">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row>
    <row r="932" spans="1:27">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row>
    <row r="933" spans="1:27">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row>
    <row r="934" spans="1:27">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row>
    <row r="935" spans="1:27">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row>
    <row r="936" spans="1:27">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row>
    <row r="937" spans="1:2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row>
    <row r="938" spans="1:27">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row>
    <row r="939" spans="1:27">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row>
    <row r="940" spans="1:27">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row>
    <row r="941" spans="1:27">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row>
    <row r="942" spans="1:27">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row>
    <row r="943" spans="1:27">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row>
    <row r="944" spans="1:27">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row>
    <row r="945" spans="1:27">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row>
    <row r="946" spans="1:27">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row>
    <row r="947" spans="1:2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row>
    <row r="948" spans="1:27">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row>
    <row r="949" spans="1:27">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row>
    <row r="950" spans="1:27">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row>
    <row r="951" spans="1:27">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row>
    <row r="952" spans="1:27">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row>
    <row r="953" spans="1:27">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row>
    <row r="954" spans="1:27">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row>
    <row r="955" spans="1:27">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row>
    <row r="956" spans="1:27">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row>
    <row r="957" spans="1:2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row>
    <row r="958" spans="1:27">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row>
    <row r="959" spans="1:27">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row>
    <row r="960" spans="1:27">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row>
    <row r="961" spans="1:27">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row>
    <row r="962" spans="1:27">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row>
    <row r="963" spans="1:27">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row>
    <row r="964" spans="1:27">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row>
    <row r="965" spans="1:27">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row>
    <row r="966" spans="1:27">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row>
    <row r="967" spans="1:2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row>
    <row r="968" spans="1:27">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row>
    <row r="969" spans="1:27">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row>
    <row r="970" spans="1:27">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row>
    <row r="971" spans="1:27">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row>
    <row r="972" spans="1:27">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row>
    <row r="973" spans="1:27">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row>
    <row r="974" spans="1:27">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row>
    <row r="975" spans="1:27">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row>
    <row r="976" spans="1:27">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row>
    <row r="977" spans="1:2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row>
    <row r="978" spans="1:27">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row>
    <row r="979" spans="1:27">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row>
    <row r="980" spans="1:27">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row>
    <row r="981" spans="1:27">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row>
    <row r="982" spans="1:27">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row>
    <row r="983" spans="1:27">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row>
    <row r="984" spans="1:27">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row>
    <row r="985" spans="1:27">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row>
    <row r="986" spans="1:27">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row>
    <row r="987" spans="1:2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row>
    <row r="988" spans="1:27">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row>
    <row r="989" spans="1:27">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row>
    <row r="990" spans="1:27">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row>
    <row r="991" spans="1:27">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row>
    <row r="992" spans="1:27">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row>
    <row r="993" spans="1:27">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row>
  </sheetData>
  <mergeCells count="48">
    <mergeCell ref="B8:E8"/>
    <mergeCell ref="F8:H8"/>
    <mergeCell ref="A1:B2"/>
    <mergeCell ref="C1:F2"/>
    <mergeCell ref="A4:H4"/>
    <mergeCell ref="A5:H5"/>
    <mergeCell ref="A7:H7"/>
    <mergeCell ref="B9:E9"/>
    <mergeCell ref="F9:H9"/>
    <mergeCell ref="B10:E10"/>
    <mergeCell ref="F10:H10"/>
    <mergeCell ref="B11:E11"/>
    <mergeCell ref="F11:H11"/>
    <mergeCell ref="A22:B22"/>
    <mergeCell ref="C22:F22"/>
    <mergeCell ref="G22:H22"/>
    <mergeCell ref="B12:E12"/>
    <mergeCell ref="F12:H12"/>
    <mergeCell ref="A14:H14"/>
    <mergeCell ref="C15:D15"/>
    <mergeCell ref="E15:F15"/>
    <mergeCell ref="C16:D16"/>
    <mergeCell ref="E16:F16"/>
    <mergeCell ref="C17:D17"/>
    <mergeCell ref="E17:F17"/>
    <mergeCell ref="C18:D18"/>
    <mergeCell ref="E18:F18"/>
    <mergeCell ref="A21:H21"/>
    <mergeCell ref="A23:B23"/>
    <mergeCell ref="C23:F23"/>
    <mergeCell ref="G23:H23"/>
    <mergeCell ref="A24:B24"/>
    <mergeCell ref="C24:F24"/>
    <mergeCell ref="G24:H24"/>
    <mergeCell ref="A25:B25"/>
    <mergeCell ref="C25:F25"/>
    <mergeCell ref="G25:H25"/>
    <mergeCell ref="A27:H27"/>
    <mergeCell ref="B28:E28"/>
    <mergeCell ref="F28:H28"/>
    <mergeCell ref="B32:E32"/>
    <mergeCell ref="F32:H32"/>
    <mergeCell ref="B29:E29"/>
    <mergeCell ref="F29:H29"/>
    <mergeCell ref="B30:E30"/>
    <mergeCell ref="F30:H30"/>
    <mergeCell ref="B31:E31"/>
    <mergeCell ref="F31:H31"/>
  </mergeCells>
  <pageMargins left="0.7" right="0.7" top="0.75" bottom="0.75" header="0.3" footer="0.3"/>
  <pageSetup scale="70" orientation="landscape" r:id="rId1"/>
  <headerFooter>
    <oddFooter>&amp;R&amp;P/&amp;N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view="pageBreakPreview" topLeftCell="A20" zoomScaleNormal="100" zoomScaleSheetLayoutView="100" workbookViewId="0">
      <selection activeCell="K39" sqref="K39"/>
    </sheetView>
  </sheetViews>
  <sheetFormatPr defaultColWidth="14.42578125" defaultRowHeight="16.5"/>
  <cols>
    <col min="1" max="1" width="15.140625" style="96" customWidth="1"/>
    <col min="2" max="2" width="17.140625" style="96" customWidth="1"/>
    <col min="3" max="3" width="28.42578125" style="96" customWidth="1"/>
    <col min="4" max="4" width="29.42578125" style="96" customWidth="1"/>
    <col min="5" max="5" width="22.140625" style="96" customWidth="1"/>
    <col min="6" max="7" width="9.140625" style="96" customWidth="1"/>
    <col min="8" max="8" width="12.85546875" style="96" customWidth="1"/>
    <col min="9" max="25" width="9.140625" style="96" customWidth="1"/>
    <col min="26" max="16384" width="14.42578125" style="96"/>
  </cols>
  <sheetData>
    <row r="1" spans="1:26" ht="25.5" customHeight="1">
      <c r="A1" s="139"/>
      <c r="B1" s="139"/>
      <c r="C1" s="166" t="s">
        <v>41</v>
      </c>
      <c r="D1" s="166"/>
      <c r="E1" s="166"/>
      <c r="F1" s="166"/>
      <c r="G1" s="105" t="s">
        <v>1</v>
      </c>
      <c r="H1" s="106"/>
    </row>
    <row r="2" spans="1:26" ht="21.6" customHeight="1">
      <c r="A2" s="139"/>
      <c r="B2" s="139"/>
      <c r="C2" s="166"/>
      <c r="D2" s="166"/>
      <c r="E2" s="166"/>
      <c r="F2" s="166"/>
      <c r="G2" s="105" t="s">
        <v>3</v>
      </c>
      <c r="H2" s="107">
        <v>1</v>
      </c>
    </row>
    <row r="3" spans="1:26" ht="20.100000000000001" customHeight="1">
      <c r="A3" s="161" t="s">
        <v>42</v>
      </c>
      <c r="B3" s="161"/>
      <c r="C3" s="161"/>
      <c r="D3" s="161"/>
      <c r="E3" s="93"/>
      <c r="F3" s="94"/>
      <c r="G3" s="94"/>
      <c r="H3" s="94"/>
      <c r="I3" s="95"/>
      <c r="J3" s="95"/>
      <c r="K3" s="95"/>
      <c r="L3" s="95"/>
      <c r="M3" s="95"/>
      <c r="N3" s="95"/>
      <c r="O3" s="95"/>
      <c r="P3" s="95"/>
      <c r="Q3" s="95"/>
      <c r="R3" s="95"/>
      <c r="S3" s="95"/>
      <c r="T3" s="95"/>
      <c r="U3" s="95"/>
      <c r="V3" s="95"/>
      <c r="W3" s="95"/>
      <c r="X3" s="95"/>
      <c r="Y3" s="95"/>
    </row>
    <row r="4" spans="1:26" ht="18.75" customHeight="1">
      <c r="A4" s="158" t="s">
        <v>43</v>
      </c>
      <c r="B4" s="159"/>
      <c r="C4" s="159"/>
      <c r="D4" s="159"/>
      <c r="E4" s="159"/>
      <c r="F4" s="159"/>
      <c r="G4" s="159"/>
      <c r="H4" s="159"/>
      <c r="I4" s="97"/>
      <c r="J4" s="97"/>
      <c r="K4" s="97"/>
      <c r="L4" s="97"/>
      <c r="M4" s="97"/>
      <c r="N4" s="97"/>
      <c r="O4" s="97"/>
      <c r="P4" s="97"/>
      <c r="Q4" s="97"/>
      <c r="R4" s="97"/>
      <c r="S4" s="97"/>
      <c r="T4" s="97"/>
      <c r="U4" s="97"/>
      <c r="V4" s="97"/>
      <c r="W4" s="97"/>
      <c r="X4" s="97"/>
      <c r="Y4" s="97"/>
    </row>
    <row r="5" spans="1:26" ht="21.75" customHeight="1">
      <c r="A5" s="167" t="s">
        <v>44</v>
      </c>
      <c r="B5" s="263"/>
      <c r="C5" s="162"/>
      <c r="D5" s="162"/>
      <c r="E5" s="162"/>
      <c r="F5" s="162"/>
      <c r="G5" s="162"/>
      <c r="H5" s="163"/>
      <c r="I5" s="97"/>
      <c r="J5" s="97"/>
      <c r="K5" s="97"/>
      <c r="L5" s="97"/>
      <c r="M5" s="97"/>
      <c r="N5" s="97"/>
      <c r="O5" s="97"/>
      <c r="P5" s="97"/>
      <c r="Q5" s="97"/>
      <c r="R5" s="97"/>
      <c r="S5" s="97"/>
      <c r="T5" s="97"/>
      <c r="U5" s="97"/>
      <c r="V5" s="97"/>
      <c r="W5" s="97"/>
      <c r="X5" s="97"/>
      <c r="Y5" s="97"/>
    </row>
    <row r="6" spans="1:26" ht="21.75" customHeight="1">
      <c r="A6" s="160" t="s">
        <v>45</v>
      </c>
      <c r="B6" s="264"/>
      <c r="C6" s="164"/>
      <c r="D6" s="164"/>
      <c r="E6" s="164"/>
      <c r="F6" s="164"/>
      <c r="G6" s="164"/>
      <c r="H6" s="165"/>
      <c r="I6" s="97"/>
      <c r="J6" s="97"/>
      <c r="K6" s="97"/>
      <c r="L6" s="97"/>
      <c r="M6" s="97"/>
      <c r="N6" s="97"/>
      <c r="O6" s="97"/>
      <c r="P6" s="97"/>
      <c r="Q6" s="97"/>
      <c r="R6" s="97"/>
      <c r="S6" s="97"/>
      <c r="T6" s="97"/>
      <c r="U6" s="97"/>
      <c r="V6" s="97"/>
      <c r="W6" s="97"/>
      <c r="X6" s="97"/>
      <c r="Y6" s="97"/>
    </row>
    <row r="7" spans="1:26" ht="21.75" customHeight="1">
      <c r="A7" s="160" t="s">
        <v>46</v>
      </c>
      <c r="B7" s="264"/>
      <c r="C7" s="152"/>
      <c r="D7" s="152"/>
      <c r="E7" s="152"/>
      <c r="F7" s="152"/>
      <c r="G7" s="152"/>
      <c r="H7" s="153"/>
      <c r="I7" s="97"/>
      <c r="J7" s="97"/>
      <c r="K7" s="97"/>
      <c r="L7" s="97"/>
      <c r="M7" s="97"/>
      <c r="N7" s="97"/>
      <c r="O7" s="97"/>
      <c r="P7" s="97"/>
      <c r="Q7" s="97"/>
      <c r="R7" s="97"/>
      <c r="S7" s="97"/>
      <c r="T7" s="97"/>
      <c r="U7" s="97"/>
      <c r="V7" s="97"/>
      <c r="W7" s="97"/>
      <c r="X7" s="97"/>
      <c r="Y7" s="97"/>
    </row>
    <row r="8" spans="1:26" ht="21.75" customHeight="1">
      <c r="A8" s="160" t="s">
        <v>47</v>
      </c>
      <c r="B8" s="264"/>
      <c r="C8" s="152"/>
      <c r="D8" s="152"/>
      <c r="E8" s="152"/>
      <c r="F8" s="152"/>
      <c r="G8" s="152"/>
      <c r="H8" s="153"/>
      <c r="I8" s="97"/>
      <c r="J8" s="97"/>
      <c r="K8" s="97"/>
      <c r="L8" s="97"/>
      <c r="M8" s="97"/>
      <c r="N8" s="97"/>
      <c r="O8" s="97"/>
      <c r="P8" s="97"/>
      <c r="Q8" s="97"/>
      <c r="R8" s="97"/>
      <c r="S8" s="97"/>
      <c r="T8" s="97"/>
      <c r="U8" s="97"/>
      <c r="V8" s="97"/>
      <c r="W8" s="97"/>
      <c r="X8" s="97"/>
      <c r="Y8" s="97"/>
    </row>
    <row r="9" spans="1:26" ht="21.75" customHeight="1">
      <c r="A9" s="160" t="s">
        <v>48</v>
      </c>
      <c r="B9" s="264"/>
      <c r="C9" s="154"/>
      <c r="D9" s="154"/>
      <c r="E9" s="154"/>
      <c r="F9" s="154"/>
      <c r="G9" s="154"/>
      <c r="H9" s="155"/>
      <c r="I9" s="97"/>
      <c r="J9" s="97"/>
      <c r="K9" s="97"/>
      <c r="L9" s="97"/>
      <c r="M9" s="97"/>
      <c r="N9" s="97"/>
      <c r="O9" s="97"/>
      <c r="P9" s="97"/>
      <c r="Q9" s="97"/>
      <c r="R9" s="97"/>
      <c r="S9" s="97"/>
      <c r="T9" s="97"/>
      <c r="U9" s="97"/>
      <c r="V9" s="97"/>
      <c r="W9" s="97"/>
      <c r="X9" s="97"/>
      <c r="Y9" s="97"/>
    </row>
    <row r="10" spans="1:26" ht="21.75" customHeight="1">
      <c r="A10" s="160" t="s">
        <v>49</v>
      </c>
      <c r="B10" s="264"/>
      <c r="C10" s="156"/>
      <c r="D10" s="156"/>
      <c r="E10" s="156"/>
      <c r="F10" s="156"/>
      <c r="G10" s="156"/>
      <c r="H10" s="157"/>
      <c r="I10" s="97"/>
      <c r="J10" s="97"/>
      <c r="K10" s="97"/>
      <c r="L10" s="97"/>
      <c r="M10" s="97"/>
      <c r="N10" s="97"/>
      <c r="O10" s="97"/>
      <c r="P10" s="97"/>
      <c r="Q10" s="97"/>
      <c r="R10" s="97"/>
      <c r="S10" s="97"/>
      <c r="T10" s="97"/>
      <c r="U10" s="97"/>
      <c r="V10" s="97"/>
      <c r="W10" s="97"/>
      <c r="X10" s="97"/>
      <c r="Y10" s="97"/>
    </row>
    <row r="11" spans="1:26" ht="15" customHeight="1">
      <c r="A11" s="98"/>
      <c r="B11" s="98"/>
      <c r="C11" s="99"/>
      <c r="D11" s="99"/>
      <c r="E11" s="97"/>
      <c r="F11" s="97"/>
      <c r="G11" s="97"/>
      <c r="H11" s="97"/>
      <c r="I11" s="97"/>
      <c r="J11" s="97"/>
      <c r="K11" s="97"/>
      <c r="L11" s="97"/>
      <c r="M11" s="97"/>
      <c r="N11" s="97"/>
      <c r="O11" s="97"/>
      <c r="P11" s="97"/>
      <c r="Q11" s="97"/>
      <c r="R11" s="97"/>
      <c r="S11" s="97"/>
      <c r="T11" s="97"/>
      <c r="U11" s="97"/>
      <c r="V11" s="97"/>
      <c r="W11" s="97"/>
      <c r="X11" s="97"/>
      <c r="Y11" s="97"/>
    </row>
    <row r="12" spans="1:26" ht="15" customHeight="1">
      <c r="A12" s="97"/>
      <c r="B12" s="97"/>
      <c r="C12" s="97"/>
      <c r="D12" s="97"/>
      <c r="E12" s="97"/>
      <c r="F12" s="97"/>
      <c r="G12" s="97"/>
      <c r="H12" s="97"/>
      <c r="I12" s="97"/>
      <c r="J12" s="97"/>
      <c r="K12" s="97"/>
      <c r="L12" s="97"/>
      <c r="M12" s="97"/>
      <c r="N12" s="97"/>
      <c r="O12" s="97"/>
      <c r="P12" s="97"/>
      <c r="Q12" s="97"/>
      <c r="R12" s="97"/>
      <c r="S12" s="97"/>
      <c r="T12" s="97"/>
      <c r="U12" s="97"/>
      <c r="V12" s="97"/>
      <c r="W12" s="97"/>
      <c r="X12" s="97"/>
      <c r="Y12" s="97"/>
    </row>
    <row r="13" spans="1:26" ht="18.75" customHeight="1">
      <c r="A13" s="158" t="s">
        <v>50</v>
      </c>
      <c r="B13" s="159"/>
      <c r="C13" s="159"/>
      <c r="D13" s="159"/>
      <c r="E13" s="159"/>
      <c r="F13" s="159"/>
      <c r="G13" s="159"/>
      <c r="H13" s="159"/>
      <c r="I13" s="97"/>
      <c r="J13" s="97"/>
      <c r="K13" s="97"/>
      <c r="L13" s="97"/>
      <c r="M13" s="97"/>
      <c r="N13" s="97"/>
      <c r="O13" s="97"/>
      <c r="P13" s="97"/>
      <c r="Q13" s="97"/>
      <c r="R13" s="97"/>
      <c r="S13" s="97"/>
      <c r="T13" s="97"/>
      <c r="U13" s="97"/>
      <c r="V13" s="97"/>
      <c r="W13" s="97"/>
      <c r="X13" s="97"/>
      <c r="Y13" s="97"/>
    </row>
    <row r="14" spans="1:26">
      <c r="A14" s="101" t="s">
        <v>51</v>
      </c>
      <c r="B14" s="101" t="s">
        <v>52</v>
      </c>
      <c r="C14" s="147" t="s">
        <v>53</v>
      </c>
      <c r="D14" s="147"/>
      <c r="E14" s="147" t="s">
        <v>54</v>
      </c>
      <c r="F14" s="147"/>
      <c r="G14" s="147" t="s">
        <v>55</v>
      </c>
      <c r="H14" s="147"/>
      <c r="I14" s="97"/>
      <c r="J14" s="97"/>
      <c r="K14" s="97"/>
      <c r="L14" s="97"/>
      <c r="M14" s="97"/>
      <c r="N14" s="97"/>
      <c r="O14" s="97"/>
      <c r="P14" s="97"/>
      <c r="Q14" s="97"/>
      <c r="R14" s="97"/>
      <c r="S14" s="97"/>
      <c r="T14" s="97"/>
      <c r="U14" s="97"/>
      <c r="V14" s="97"/>
      <c r="W14" s="97"/>
      <c r="X14" s="97"/>
      <c r="Y14" s="97"/>
      <c r="Z14" s="97"/>
    </row>
    <row r="15" spans="1:26">
      <c r="A15" s="108" t="s">
        <v>21</v>
      </c>
      <c r="B15" s="108" t="s">
        <v>22</v>
      </c>
      <c r="C15" s="148" t="s">
        <v>23</v>
      </c>
      <c r="D15" s="148"/>
      <c r="E15" s="148" t="s">
        <v>56</v>
      </c>
      <c r="F15" s="148"/>
      <c r="G15" s="148" t="s">
        <v>57</v>
      </c>
      <c r="H15" s="148"/>
      <c r="I15" s="97"/>
      <c r="J15" s="97"/>
      <c r="K15" s="97"/>
      <c r="L15" s="97"/>
      <c r="M15" s="97"/>
      <c r="N15" s="97"/>
      <c r="O15" s="97"/>
      <c r="P15" s="97"/>
      <c r="Q15" s="97"/>
      <c r="R15" s="97"/>
      <c r="S15" s="97"/>
      <c r="T15" s="97"/>
      <c r="U15" s="97"/>
      <c r="V15" s="97"/>
      <c r="W15" s="97"/>
      <c r="X15" s="97"/>
      <c r="Y15" s="97"/>
      <c r="Z15" s="97"/>
    </row>
    <row r="16" spans="1:26">
      <c r="A16" s="102"/>
      <c r="B16" s="103"/>
      <c r="C16" s="149"/>
      <c r="D16" s="149"/>
      <c r="E16" s="150"/>
      <c r="F16" s="150"/>
      <c r="G16" s="147"/>
      <c r="H16" s="147"/>
      <c r="I16" s="97"/>
      <c r="J16" s="97"/>
      <c r="K16" s="97"/>
      <c r="L16" s="97"/>
      <c r="M16" s="97"/>
      <c r="N16" s="97"/>
      <c r="O16" s="97"/>
      <c r="P16" s="97"/>
      <c r="Q16" s="97"/>
      <c r="R16" s="97"/>
      <c r="S16" s="97"/>
      <c r="T16" s="97"/>
      <c r="U16" s="97"/>
      <c r="V16" s="97"/>
      <c r="W16" s="97"/>
      <c r="X16" s="97"/>
      <c r="Y16" s="97"/>
      <c r="Z16" s="97"/>
    </row>
    <row r="17" spans="1:26">
      <c r="A17" s="102"/>
      <c r="B17" s="103"/>
      <c r="C17" s="149"/>
      <c r="D17" s="149"/>
      <c r="E17" s="150"/>
      <c r="F17" s="150"/>
      <c r="G17" s="147"/>
      <c r="H17" s="147"/>
      <c r="I17" s="97"/>
      <c r="J17" s="97"/>
      <c r="K17" s="97"/>
      <c r="L17" s="97"/>
      <c r="M17" s="97"/>
      <c r="N17" s="97"/>
      <c r="O17" s="97"/>
      <c r="P17" s="97"/>
      <c r="Q17" s="97"/>
      <c r="R17" s="97"/>
      <c r="S17" s="97"/>
      <c r="T17" s="97"/>
      <c r="U17" s="97"/>
      <c r="V17" s="97"/>
      <c r="W17" s="97"/>
      <c r="X17" s="97"/>
      <c r="Y17" s="97"/>
      <c r="Z17" s="97"/>
    </row>
    <row r="18" spans="1:26">
      <c r="A18" s="102"/>
      <c r="B18" s="103"/>
      <c r="C18" s="149"/>
      <c r="D18" s="149"/>
      <c r="E18" s="151"/>
      <c r="F18" s="151"/>
      <c r="G18" s="147"/>
      <c r="H18" s="147"/>
      <c r="I18" s="97"/>
      <c r="J18" s="97"/>
      <c r="K18" s="97"/>
      <c r="L18" s="97"/>
      <c r="M18" s="97"/>
      <c r="N18" s="97"/>
      <c r="O18" s="97"/>
      <c r="P18" s="97"/>
      <c r="Q18" s="97"/>
      <c r="R18" s="97"/>
      <c r="S18" s="97"/>
      <c r="T18" s="97"/>
      <c r="U18" s="97"/>
      <c r="V18" s="97"/>
      <c r="W18" s="97"/>
      <c r="X18" s="97"/>
      <c r="Y18" s="97"/>
      <c r="Z18" s="97"/>
    </row>
    <row r="19" spans="1:26">
      <c r="A19" s="102"/>
      <c r="B19" s="103"/>
      <c r="C19" s="149"/>
      <c r="D19" s="149"/>
      <c r="E19" s="178"/>
      <c r="F19" s="179"/>
      <c r="G19" s="147"/>
      <c r="H19" s="147"/>
      <c r="I19" s="97"/>
      <c r="J19" s="97"/>
      <c r="K19" s="97"/>
      <c r="L19" s="97"/>
      <c r="M19" s="97"/>
      <c r="N19" s="97"/>
      <c r="O19" s="97"/>
      <c r="P19" s="97"/>
      <c r="Q19" s="97"/>
      <c r="R19" s="97"/>
      <c r="S19" s="97"/>
      <c r="T19" s="97"/>
      <c r="U19" s="97"/>
      <c r="V19" s="97"/>
      <c r="W19" s="97"/>
      <c r="X19" s="97"/>
      <c r="Y19" s="97"/>
      <c r="Z19" s="97"/>
    </row>
    <row r="20" spans="1:26">
      <c r="A20" s="104"/>
      <c r="B20" s="103"/>
      <c r="C20" s="149"/>
      <c r="D20" s="149"/>
      <c r="E20" s="175"/>
      <c r="F20" s="176"/>
      <c r="G20" s="177"/>
      <c r="H20" s="177"/>
      <c r="I20" s="97"/>
      <c r="J20" s="97"/>
      <c r="K20" s="97"/>
      <c r="L20" s="97"/>
      <c r="M20" s="97"/>
      <c r="N20" s="97"/>
      <c r="O20" s="97"/>
      <c r="P20" s="97"/>
      <c r="Q20" s="97"/>
      <c r="R20" s="97"/>
      <c r="S20" s="97"/>
      <c r="T20" s="97"/>
      <c r="U20" s="97"/>
      <c r="V20" s="97"/>
      <c r="W20" s="97"/>
      <c r="X20" s="97"/>
      <c r="Y20" s="97"/>
      <c r="Z20" s="97"/>
    </row>
    <row r="21" spans="1:26">
      <c r="A21" s="104"/>
      <c r="B21" s="103"/>
      <c r="C21" s="149"/>
      <c r="D21" s="149"/>
      <c r="E21" s="177"/>
      <c r="F21" s="177"/>
      <c r="G21" s="177"/>
      <c r="H21" s="177"/>
      <c r="I21" s="97"/>
      <c r="J21" s="97"/>
      <c r="K21" s="97"/>
      <c r="L21" s="97"/>
      <c r="M21" s="97"/>
      <c r="N21" s="97"/>
      <c r="O21" s="97"/>
      <c r="P21" s="97"/>
      <c r="Q21" s="97"/>
      <c r="R21" s="97"/>
      <c r="S21" s="97"/>
      <c r="T21" s="97"/>
      <c r="U21" s="97"/>
      <c r="V21" s="97"/>
      <c r="W21" s="97"/>
      <c r="X21" s="97"/>
      <c r="Y21" s="97"/>
      <c r="Z21" s="97"/>
    </row>
    <row r="22" spans="1:26">
      <c r="A22" s="97"/>
      <c r="B22" s="97"/>
      <c r="C22" s="97"/>
      <c r="D22" s="100" t="s">
        <v>58</v>
      </c>
      <c r="E22" s="97"/>
      <c r="F22" s="97"/>
      <c r="G22" s="97"/>
      <c r="H22" s="97"/>
      <c r="I22" s="97"/>
      <c r="J22" s="97"/>
      <c r="K22" s="97"/>
      <c r="L22" s="97"/>
      <c r="M22" s="97"/>
      <c r="N22" s="97"/>
      <c r="O22" s="97"/>
      <c r="P22" s="97"/>
      <c r="Q22" s="97"/>
      <c r="R22" s="97"/>
      <c r="S22" s="97"/>
      <c r="T22" s="97"/>
      <c r="U22" s="97"/>
      <c r="V22" s="97"/>
      <c r="W22" s="97"/>
      <c r="X22" s="97"/>
      <c r="Y22" s="97"/>
    </row>
    <row r="23" spans="1:26" ht="1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row>
    <row r="24" spans="1:26" ht="18.75" customHeight="1">
      <c r="A24" s="158" t="s">
        <v>59</v>
      </c>
      <c r="B24" s="159"/>
      <c r="C24" s="159"/>
      <c r="D24" s="159"/>
      <c r="E24" s="159"/>
      <c r="F24" s="159"/>
      <c r="G24" s="159"/>
      <c r="H24" s="159"/>
      <c r="I24" s="97"/>
      <c r="J24" s="97"/>
      <c r="K24" s="97"/>
      <c r="L24" s="97"/>
      <c r="M24" s="97"/>
      <c r="N24" s="97"/>
      <c r="O24" s="97"/>
      <c r="P24" s="97"/>
      <c r="Q24" s="97"/>
      <c r="R24" s="97"/>
      <c r="S24" s="97"/>
      <c r="T24" s="97"/>
      <c r="U24" s="97"/>
      <c r="V24" s="97"/>
      <c r="W24" s="97"/>
      <c r="X24" s="97"/>
      <c r="Y24" s="97"/>
    </row>
    <row r="25" spans="1:26" ht="14.1" customHeight="1">
      <c r="A25" s="147" t="s">
        <v>60</v>
      </c>
      <c r="B25" s="265"/>
      <c r="C25" s="174" t="s">
        <v>61</v>
      </c>
      <c r="D25" s="174"/>
      <c r="E25" s="174"/>
      <c r="F25" s="174"/>
      <c r="G25" s="174"/>
      <c r="H25" s="174"/>
      <c r="I25" s="97"/>
      <c r="J25" s="97"/>
      <c r="K25" s="97"/>
      <c r="L25" s="97"/>
      <c r="M25" s="97"/>
      <c r="N25" s="97"/>
      <c r="O25" s="97"/>
      <c r="P25" s="97"/>
      <c r="Q25" s="97"/>
      <c r="R25" s="97"/>
      <c r="S25" s="97"/>
      <c r="T25" s="97"/>
      <c r="U25" s="97"/>
      <c r="V25" s="97"/>
      <c r="W25" s="97"/>
      <c r="X25" s="97"/>
      <c r="Y25" s="97"/>
    </row>
    <row r="26" spans="1:26" ht="25.5" customHeight="1">
      <c r="A26" s="265"/>
      <c r="B26" s="265"/>
      <c r="C26" s="174" t="s">
        <v>62</v>
      </c>
      <c r="D26" s="174"/>
      <c r="E26" s="174"/>
      <c r="F26" s="174"/>
      <c r="G26" s="174"/>
      <c r="H26" s="174"/>
      <c r="I26" s="97"/>
      <c r="J26" s="97"/>
      <c r="K26" s="97"/>
      <c r="L26" s="97"/>
      <c r="M26" s="97"/>
      <c r="N26" s="97"/>
      <c r="O26" s="97"/>
      <c r="P26" s="97"/>
      <c r="Q26" s="97"/>
      <c r="R26" s="97"/>
      <c r="S26" s="97"/>
      <c r="T26" s="97"/>
      <c r="U26" s="97"/>
      <c r="V26" s="97"/>
      <c r="W26" s="97"/>
      <c r="X26" s="97"/>
      <c r="Y26" s="97"/>
    </row>
    <row r="27" spans="1:26" ht="23.25" customHeight="1">
      <c r="A27" s="265"/>
      <c r="B27" s="265"/>
      <c r="C27" s="171" t="s">
        <v>63</v>
      </c>
      <c r="D27" s="171"/>
      <c r="E27" s="171"/>
      <c r="F27" s="171"/>
      <c r="G27" s="171"/>
      <c r="H27" s="171"/>
      <c r="I27" s="97"/>
      <c r="J27" s="97"/>
      <c r="K27" s="97"/>
      <c r="L27" s="97"/>
      <c r="M27" s="97"/>
      <c r="N27" s="97"/>
      <c r="O27" s="97"/>
      <c r="P27" s="97"/>
      <c r="Q27" s="97"/>
      <c r="R27" s="97"/>
      <c r="S27" s="97"/>
      <c r="T27" s="97"/>
      <c r="U27" s="97"/>
      <c r="V27" s="97"/>
      <c r="W27" s="97"/>
      <c r="X27" s="97"/>
      <c r="Y27" s="97"/>
    </row>
    <row r="28" spans="1:26" ht="54.95" customHeight="1">
      <c r="A28" s="168" t="s">
        <v>64</v>
      </c>
      <c r="B28" s="265"/>
      <c r="C28" s="259" t="s">
        <v>65</v>
      </c>
      <c r="D28" s="171"/>
      <c r="E28" s="171"/>
      <c r="F28" s="171"/>
      <c r="G28" s="171"/>
      <c r="H28" s="171"/>
      <c r="I28" s="97"/>
      <c r="J28" s="97"/>
      <c r="K28" s="97"/>
      <c r="L28" s="97"/>
      <c r="M28" s="97"/>
      <c r="N28" s="97"/>
      <c r="O28" s="97"/>
      <c r="P28" s="97"/>
      <c r="Q28" s="97"/>
      <c r="R28" s="97"/>
      <c r="S28" s="97"/>
      <c r="T28" s="97"/>
      <c r="U28" s="97"/>
      <c r="V28" s="97"/>
      <c r="W28" s="97"/>
      <c r="X28" s="97"/>
      <c r="Y28" s="97"/>
    </row>
    <row r="29" spans="1:26" ht="57.95" customHeight="1">
      <c r="A29" s="265"/>
      <c r="B29" s="265"/>
      <c r="C29" s="259" t="s">
        <v>66</v>
      </c>
      <c r="D29" s="171"/>
      <c r="E29" s="171"/>
      <c r="F29" s="171"/>
      <c r="G29" s="171"/>
      <c r="H29" s="171"/>
      <c r="I29" s="97"/>
      <c r="J29" s="97"/>
      <c r="K29" s="97"/>
      <c r="L29" s="97"/>
      <c r="M29" s="97"/>
      <c r="N29" s="97"/>
      <c r="O29" s="97"/>
      <c r="P29" s="97"/>
      <c r="Q29" s="97"/>
      <c r="R29" s="97"/>
      <c r="S29" s="97"/>
      <c r="T29" s="97"/>
      <c r="U29" s="97"/>
      <c r="V29" s="97"/>
      <c r="W29" s="97"/>
      <c r="X29" s="97"/>
      <c r="Y29" s="97"/>
    </row>
    <row r="30" spans="1:26" ht="45.95" customHeight="1">
      <c r="A30" s="265"/>
      <c r="B30" s="265"/>
      <c r="C30" s="260" t="s">
        <v>67</v>
      </c>
      <c r="D30" s="173"/>
      <c r="E30" s="173"/>
      <c r="F30" s="173"/>
      <c r="G30" s="173"/>
      <c r="H30" s="173"/>
      <c r="I30" s="97"/>
      <c r="J30" s="97"/>
      <c r="K30" s="97"/>
      <c r="L30" s="97"/>
      <c r="M30" s="97"/>
      <c r="N30" s="97"/>
      <c r="O30" s="97"/>
      <c r="P30" s="97"/>
      <c r="Q30" s="97"/>
      <c r="R30" s="97"/>
      <c r="S30" s="97"/>
      <c r="T30" s="97"/>
      <c r="U30" s="97"/>
      <c r="V30" s="97"/>
      <c r="W30" s="97"/>
      <c r="X30" s="97"/>
      <c r="Y30" s="97"/>
    </row>
    <row r="31" spans="1:26" ht="42.6" customHeight="1">
      <c r="A31" s="265"/>
      <c r="B31" s="265"/>
      <c r="C31" s="259" t="s">
        <v>68</v>
      </c>
      <c r="D31" s="173"/>
      <c r="E31" s="173"/>
      <c r="F31" s="173"/>
      <c r="G31" s="173"/>
      <c r="H31" s="173"/>
      <c r="I31" s="97"/>
      <c r="J31" s="97"/>
      <c r="K31" s="97"/>
      <c r="L31" s="97"/>
      <c r="M31" s="97"/>
      <c r="N31" s="97"/>
      <c r="O31" s="97"/>
      <c r="P31" s="97"/>
      <c r="Q31" s="97"/>
      <c r="R31" s="97"/>
      <c r="S31" s="97"/>
      <c r="T31" s="97"/>
      <c r="U31" s="97"/>
      <c r="V31" s="97"/>
      <c r="W31" s="97"/>
      <c r="X31" s="97"/>
      <c r="Y31" s="97"/>
    </row>
    <row r="32" spans="1:26" ht="15" customHeight="1">
      <c r="A32" s="168" t="s">
        <v>69</v>
      </c>
      <c r="B32" s="265"/>
      <c r="C32" s="169" t="s">
        <v>70</v>
      </c>
      <c r="D32" s="169"/>
      <c r="E32" s="169"/>
      <c r="F32" s="169"/>
      <c r="G32" s="169"/>
      <c r="H32" s="169"/>
      <c r="I32" s="97"/>
      <c r="J32" s="97"/>
      <c r="K32" s="97"/>
      <c r="L32" s="97"/>
      <c r="M32" s="97"/>
      <c r="N32" s="97"/>
      <c r="O32" s="97"/>
      <c r="P32" s="97"/>
      <c r="Q32" s="97"/>
      <c r="R32" s="97"/>
      <c r="S32" s="97"/>
      <c r="T32" s="97"/>
      <c r="U32" s="97"/>
      <c r="V32" s="97"/>
      <c r="W32" s="97"/>
      <c r="X32" s="97"/>
      <c r="Y32" s="97"/>
    </row>
    <row r="33" spans="1:25" ht="15" customHeight="1">
      <c r="A33" s="265"/>
      <c r="B33" s="265"/>
      <c r="C33" s="170" t="s">
        <v>71</v>
      </c>
      <c r="D33" s="170"/>
      <c r="E33" s="170"/>
      <c r="F33" s="170"/>
      <c r="G33" s="170"/>
      <c r="H33" s="170"/>
      <c r="I33" s="97"/>
      <c r="J33" s="97"/>
      <c r="K33" s="97"/>
      <c r="L33" s="97"/>
      <c r="M33" s="97"/>
      <c r="N33" s="97"/>
      <c r="O33" s="97"/>
      <c r="P33" s="97"/>
      <c r="Q33" s="97"/>
      <c r="R33" s="97"/>
      <c r="S33" s="97"/>
      <c r="T33" s="97"/>
      <c r="U33" s="97"/>
      <c r="V33" s="97"/>
      <c r="W33" s="97"/>
      <c r="X33" s="97"/>
      <c r="Y33" s="97"/>
    </row>
    <row r="34" spans="1:25" ht="15" customHeight="1">
      <c r="A34" s="265"/>
      <c r="B34" s="265"/>
      <c r="C34" s="170" t="s">
        <v>72</v>
      </c>
      <c r="D34" s="170"/>
      <c r="E34" s="170"/>
      <c r="F34" s="170"/>
      <c r="G34" s="170"/>
      <c r="H34" s="170"/>
      <c r="I34" s="97"/>
      <c r="J34" s="97"/>
      <c r="K34" s="97"/>
      <c r="L34" s="97"/>
      <c r="M34" s="97"/>
      <c r="N34" s="97"/>
      <c r="O34" s="97"/>
      <c r="P34" s="97"/>
      <c r="Q34" s="97"/>
      <c r="R34" s="97"/>
      <c r="S34" s="97"/>
      <c r="T34" s="97"/>
      <c r="U34" s="97"/>
      <c r="V34" s="97"/>
      <c r="W34" s="97"/>
      <c r="X34" s="97"/>
      <c r="Y34" s="97"/>
    </row>
    <row r="35" spans="1:25" ht="28.5" customHeight="1">
      <c r="A35" s="265"/>
      <c r="B35" s="265"/>
      <c r="C35" s="171" t="s">
        <v>73</v>
      </c>
      <c r="D35" s="171"/>
      <c r="E35" s="171"/>
      <c r="F35" s="171"/>
      <c r="G35" s="171"/>
      <c r="H35" s="171"/>
      <c r="I35" s="97"/>
      <c r="J35" s="97"/>
      <c r="K35" s="97"/>
      <c r="L35" s="97"/>
      <c r="M35" s="97"/>
      <c r="N35" s="97"/>
      <c r="O35" s="97"/>
      <c r="P35" s="97"/>
      <c r="Q35" s="97"/>
      <c r="R35" s="97"/>
      <c r="S35" s="97"/>
      <c r="T35" s="97"/>
      <c r="U35" s="97"/>
      <c r="V35" s="97"/>
      <c r="W35" s="97"/>
      <c r="X35" s="97"/>
      <c r="Y35" s="97"/>
    </row>
    <row r="36" spans="1:25" ht="15" customHeight="1">
      <c r="A36" s="265"/>
      <c r="B36" s="265"/>
      <c r="C36" s="172" t="s">
        <v>74</v>
      </c>
      <c r="D36" s="172"/>
      <c r="E36" s="172"/>
      <c r="F36" s="172"/>
      <c r="G36" s="172"/>
      <c r="H36" s="172"/>
      <c r="I36" s="97"/>
      <c r="J36" s="97"/>
      <c r="K36" s="97"/>
      <c r="L36" s="97"/>
      <c r="M36" s="97"/>
      <c r="N36" s="97"/>
      <c r="O36" s="97"/>
      <c r="P36" s="97"/>
      <c r="Q36" s="97"/>
      <c r="R36" s="97"/>
      <c r="S36" s="97"/>
      <c r="T36" s="97"/>
      <c r="U36" s="97"/>
      <c r="V36" s="97"/>
      <c r="W36" s="97"/>
      <c r="X36" s="97"/>
      <c r="Y36" s="97"/>
    </row>
    <row r="37" spans="1:25" ht="1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row>
    <row r="38" spans="1:25" ht="1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row>
    <row r="39" spans="1:25" ht="1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row>
    <row r="40" spans="1:25" ht="1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row>
    <row r="41" spans="1:25" ht="1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row>
    <row r="42" spans="1:25" ht="1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row>
    <row r="43" spans="1:25" ht="1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row>
    <row r="44" spans="1:25" ht="1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row>
    <row r="45" spans="1:25" ht="1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row>
    <row r="46" spans="1:25" ht="1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row>
    <row r="47" spans="1:25" ht="1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row>
    <row r="48" spans="1:25" ht="1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row>
    <row r="49" spans="1:25" ht="1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row>
    <row r="50" spans="1:25" ht="1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row>
    <row r="51" spans="1:25" ht="1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row>
    <row r="52" spans="1:25" ht="1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row>
    <row r="53" spans="1:25" ht="1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row>
    <row r="54" spans="1:25" ht="1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row>
    <row r="55" spans="1:25" ht="1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row>
    <row r="56" spans="1:25" ht="1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row>
    <row r="57" spans="1:25" ht="1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row>
    <row r="58" spans="1:25" ht="1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row>
    <row r="59" spans="1:25" ht="1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row>
    <row r="60" spans="1:25" ht="1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row>
    <row r="61" spans="1:25" ht="1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row>
    <row r="62" spans="1:25" ht="1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row>
    <row r="63" spans="1:25" ht="1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row>
    <row r="64" spans="1:25" ht="1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row>
    <row r="65" spans="1:25" ht="1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row>
    <row r="66" spans="1:25" ht="1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row>
    <row r="67" spans="1:25" ht="1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row>
    <row r="68" spans="1:25" ht="1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row>
    <row r="69" spans="1:25" ht="1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row>
    <row r="70" spans="1:25" ht="1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row>
    <row r="71" spans="1:25" ht="1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row>
    <row r="72" spans="1:25" ht="1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row>
    <row r="73" spans="1:25" ht="1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row>
    <row r="74" spans="1:25" ht="1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row>
    <row r="75" spans="1:25" ht="1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row>
    <row r="76" spans="1:25" ht="1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row>
    <row r="77" spans="1:25" ht="1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row>
    <row r="78" spans="1:25" ht="1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row>
    <row r="79" spans="1:25" ht="1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row>
    <row r="80" spans="1:25" ht="1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row>
    <row r="81" spans="1:25" ht="1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row>
    <row r="82" spans="1:25" ht="1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row>
    <row r="83" spans="1:25" ht="1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row>
    <row r="84" spans="1:25" ht="1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row>
    <row r="85" spans="1:25" ht="1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row>
    <row r="86" spans="1:25" ht="1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row>
    <row r="87" spans="1:25" ht="1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row>
    <row r="88" spans="1:25" ht="1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row>
    <row r="89" spans="1:25" ht="1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row>
    <row r="90" spans="1:25" ht="1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row>
    <row r="91" spans="1:25" ht="1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row>
    <row r="92" spans="1:25" ht="1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row>
    <row r="93" spans="1:25" ht="1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row>
    <row r="94" spans="1:25" ht="1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row>
    <row r="95" spans="1:25" ht="1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row>
    <row r="96" spans="1:25" ht="1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row>
    <row r="97" spans="1:25" ht="1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row>
    <row r="98" spans="1:25" ht="1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row>
    <row r="99" spans="1:25" ht="1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spans="1:25" ht="1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spans="1:25" ht="1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spans="1:25" ht="1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spans="1:25" ht="1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spans="1:25" ht="1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spans="1:25" ht="1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spans="1:25" ht="1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spans="1:25" ht="1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spans="1:25" ht="1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spans="1:25" ht="1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spans="1:25" ht="1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spans="1:25" ht="1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spans="1:25" ht="1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spans="1:25" ht="1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spans="1:25" ht="1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spans="1:25" ht="1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spans="1:25" ht="1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spans="1:25" ht="1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spans="1:25" ht="1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spans="1:25" ht="1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spans="1:25" ht="1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spans="1:25" ht="1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spans="1:25" ht="1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spans="1:25" ht="1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spans="1:25" ht="1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spans="1:25" ht="1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spans="1:25" ht="1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spans="1:25" ht="1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spans="1:25" ht="1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spans="1:25" ht="1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spans="1:25" ht="1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spans="1:25" ht="1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spans="1:25" ht="1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spans="1:25" ht="1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spans="1:25" ht="1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spans="1:25" ht="1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spans="1:25" ht="1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spans="1:25" ht="1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spans="1:25" ht="1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spans="1:25" ht="1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spans="1:25" ht="1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spans="1:25" ht="1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spans="1:25" ht="1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spans="1:25" ht="1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spans="1:25" ht="1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spans="1:25" ht="1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spans="1:25" ht="1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spans="1:25" ht="1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spans="1:25" ht="1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spans="1:25" ht="1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spans="1:25" ht="1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spans="1:25" ht="1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spans="1:25" ht="1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spans="1:25" ht="1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spans="1:25" ht="1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spans="1:25" ht="1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spans="1:25" ht="1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spans="1:25" ht="1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spans="1:25" ht="1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spans="1:25" ht="1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spans="1:25" ht="1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spans="1:25" ht="1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spans="1:25" ht="1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spans="1:25" ht="1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spans="1:25" ht="1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spans="1:25" ht="1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spans="1:25" ht="1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spans="1:25" ht="1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spans="1:25" ht="1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spans="1:25" ht="1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spans="1:25" ht="1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spans="1:25" ht="1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spans="1:25" ht="1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spans="1:25" ht="1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spans="1:25" ht="1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spans="1:25" ht="1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spans="1:25" ht="1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spans="1:25" ht="1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spans="1:25" ht="1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spans="1:25" ht="1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spans="1:25" ht="1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spans="1:25" ht="1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spans="1:25" ht="1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spans="1:25" ht="1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spans="1:25" ht="1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spans="1:25" ht="1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spans="1:25" ht="1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spans="1:25" ht="1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spans="1:25" ht="1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spans="1:25" ht="1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spans="1:25" ht="1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spans="1:25" ht="1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spans="1:25" ht="1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spans="1:25" ht="1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spans="1:25" ht="1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spans="1:25" ht="1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spans="1:25" ht="1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spans="1:25" ht="1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spans="1:25" ht="1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spans="1:25" ht="1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spans="1:25" ht="1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spans="1:25" ht="1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spans="1:25" ht="1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spans="1:25" ht="1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spans="1:25" ht="1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spans="1:25" ht="1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spans="1:25" ht="1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spans="1:25" ht="1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spans="1:25" ht="1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spans="1:25" ht="1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spans="1:25" ht="1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spans="1:25" ht="1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spans="1:25" ht="1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spans="1:25" ht="1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spans="1:25" ht="1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spans="1:25" ht="1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spans="1:25" ht="1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spans="1:25" ht="1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spans="1:25" ht="1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spans="1:25" ht="1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spans="1:25" ht="1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spans="1:25" ht="1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spans="1:25" ht="1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spans="1:25" ht="1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spans="1:25" ht="1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spans="1:25" ht="1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spans="1:25" ht="1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spans="1:25" ht="1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spans="1:25" ht="1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spans="1:25" ht="1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spans="1:25" ht="1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spans="1:25" ht="1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spans="1:25" ht="1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spans="1:25" ht="1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spans="1:25" ht="1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spans="1:25" ht="1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spans="1:25" ht="1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spans="1:25" ht="1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spans="1:25" ht="1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spans="1:25" ht="1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spans="1:25" ht="1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spans="1:25" ht="1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spans="1:25" ht="1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spans="1:25" ht="1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spans="1:25" ht="1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spans="1:25" ht="1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spans="1:25" ht="1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spans="1:25" ht="1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spans="1:25" ht="1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spans="1:25" ht="1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spans="1:25" ht="1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spans="1:25" ht="1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spans="1:25" ht="1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spans="1:25" ht="1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spans="1:25" ht="1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spans="1:25" ht="1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spans="1:25" ht="1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spans="1:25" ht="1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spans="1:25" ht="1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spans="1:25" ht="1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spans="1:25" ht="1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spans="1:25" ht="1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spans="1:25" ht="1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row>
    <row r="263" spans="1:25" ht="1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spans="1:25" ht="1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spans="1:25" ht="1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spans="1:25" ht="1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spans="1:25" ht="1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spans="1:25" ht="1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spans="1:25" ht="1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spans="1:25" ht="1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spans="1:25" ht="1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spans="1:25" ht="1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spans="1:25" ht="1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spans="1:25" ht="1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spans="1:25" ht="1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spans="1:25" ht="1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spans="1:25" ht="1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spans="1:25" ht="1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spans="1:25" ht="1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spans="1:25" ht="1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spans="1:25" ht="1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spans="1:25" ht="1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spans="1:25" ht="1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spans="1:25" ht="1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spans="1:25" ht="1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spans="1:25" ht="1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spans="1:25" ht="1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spans="1:25" ht="1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spans="1:25" ht="1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row>
    <row r="290" spans="1:25" ht="1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row>
    <row r="291" spans="1:25" ht="1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row>
    <row r="292" spans="1:25" ht="1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row>
    <row r="293" spans="1:25" ht="1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row>
    <row r="294" spans="1:25" ht="1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row>
    <row r="295" spans="1:25" ht="1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row>
    <row r="296" spans="1:25" ht="1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row>
    <row r="297" spans="1:25" ht="1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row>
    <row r="298" spans="1:25" ht="1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row>
    <row r="299" spans="1:25" ht="1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row>
    <row r="300" spans="1:25" ht="1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row>
    <row r="301" spans="1:25" ht="1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row>
    <row r="302" spans="1:25" ht="1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row>
    <row r="303" spans="1:25" ht="1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row>
    <row r="304" spans="1:25" ht="1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row>
    <row r="305" spans="1:25" ht="1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row>
    <row r="306" spans="1:25" ht="1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row>
    <row r="307" spans="1:25" ht="1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row>
    <row r="308" spans="1:25" ht="1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row>
    <row r="309" spans="1:25" ht="1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row>
    <row r="310" spans="1:25" ht="1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row>
    <row r="311" spans="1:25" ht="1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row>
    <row r="312" spans="1:25" ht="1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row>
    <row r="313" spans="1:25" ht="1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row>
    <row r="314" spans="1:25" ht="1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row>
    <row r="315" spans="1:25" ht="1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row>
    <row r="316" spans="1:25" ht="1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row>
    <row r="317" spans="1:25" ht="1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row>
    <row r="318" spans="1:25" ht="1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row>
    <row r="319" spans="1:25" ht="1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row>
    <row r="320" spans="1:25" ht="1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row>
    <row r="321" spans="1:25" ht="1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row>
    <row r="322" spans="1:25" ht="1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row>
    <row r="323" spans="1:25" ht="1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spans="1:25" ht="1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spans="1:25" ht="1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spans="1:25" ht="1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spans="1:25" ht="1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spans="1:25" ht="1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spans="1:25" ht="1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spans="1:25" ht="1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spans="1:25" ht="1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spans="1:25" ht="1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spans="1:25" ht="1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spans="1:25" ht="1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spans="1:25" ht="1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spans="1:25" ht="1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spans="1:25" ht="1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spans="1:25" ht="1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spans="1:25" ht="1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spans="1:25" ht="1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spans="1:25" ht="1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spans="1:25" ht="1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spans="1:25" ht="1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spans="1:25" ht="1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spans="1:25" ht="1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spans="1:25" ht="1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spans="1:25" ht="1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spans="1:25" ht="1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spans="1:25" ht="1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row>
    <row r="350" spans="1:25" ht="1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row>
    <row r="351" spans="1:25" ht="1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row>
    <row r="352" spans="1:25" ht="1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row>
    <row r="353" spans="1:25" ht="1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row>
    <row r="354" spans="1:25" ht="1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row>
    <row r="355" spans="1:25" ht="1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row>
    <row r="356" spans="1:25" ht="1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row>
    <row r="357" spans="1:25" ht="1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row>
    <row r="358" spans="1:25" ht="1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row>
    <row r="359" spans="1:25" ht="1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row>
    <row r="360" spans="1:25" ht="1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row>
    <row r="361" spans="1:25" ht="1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row>
    <row r="362" spans="1:25" ht="1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row>
    <row r="363" spans="1:25" ht="1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row>
    <row r="364" spans="1:25" ht="1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row>
    <row r="365" spans="1:25" ht="1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row>
    <row r="366" spans="1:25" ht="1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row>
    <row r="367" spans="1:25" ht="1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row>
    <row r="368" spans="1:25" ht="1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row>
    <row r="369" spans="1:25" ht="1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row>
    <row r="370" spans="1:25" ht="1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row>
    <row r="371" spans="1:25" ht="1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row>
    <row r="372" spans="1:25" ht="1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row>
    <row r="373" spans="1:25" ht="1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row>
    <row r="374" spans="1:25" ht="1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row>
    <row r="375" spans="1:25" ht="1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row>
    <row r="376" spans="1:25" ht="1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row>
    <row r="377" spans="1:25" ht="1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row>
    <row r="378" spans="1:25" ht="1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row>
    <row r="379" spans="1:25" ht="1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row>
    <row r="380" spans="1:25" ht="1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row>
    <row r="381" spans="1:25" ht="1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row>
    <row r="382" spans="1:25" ht="1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row>
    <row r="383" spans="1:25" ht="1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row>
    <row r="384" spans="1:25" ht="1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row>
    <row r="385" spans="1:25" ht="1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row>
    <row r="386" spans="1:25" ht="1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row>
    <row r="387" spans="1:25" ht="1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row>
    <row r="388" spans="1:25" ht="1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row>
    <row r="389" spans="1:25" ht="1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row>
    <row r="390" spans="1:25" ht="1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row>
    <row r="391" spans="1:25" ht="1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row>
    <row r="392" spans="1:25" ht="1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row>
    <row r="393" spans="1:25" ht="1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row>
    <row r="394" spans="1:25" ht="1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row>
    <row r="395" spans="1:25" ht="1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row>
    <row r="396" spans="1:25" ht="1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row>
    <row r="397" spans="1:25" ht="1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row>
    <row r="398" spans="1:25" ht="1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row>
    <row r="399" spans="1:25" ht="1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row>
    <row r="400" spans="1:25" ht="1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row>
    <row r="401" spans="1:25" ht="1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row>
    <row r="402" spans="1:25" ht="1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row>
    <row r="403" spans="1:25" ht="1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row>
    <row r="404" spans="1:25" ht="1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row>
    <row r="405" spans="1:25" ht="1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row>
    <row r="406" spans="1:25" ht="1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row>
    <row r="407" spans="1:25" ht="1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row>
    <row r="408" spans="1:25" ht="1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row>
    <row r="409" spans="1:25" ht="1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row>
    <row r="410" spans="1:25" ht="1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row>
    <row r="411" spans="1:25" ht="1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row>
    <row r="412" spans="1:25" ht="1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row>
    <row r="413" spans="1:25" ht="1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row>
    <row r="414" spans="1:25" ht="1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row>
    <row r="415" spans="1:25" ht="1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row>
    <row r="416" spans="1:25" ht="1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row>
    <row r="417" spans="1:25" ht="1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row>
    <row r="418" spans="1:25" ht="1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row>
    <row r="419" spans="1:25" ht="1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row>
    <row r="420" spans="1:25" ht="1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row>
    <row r="421" spans="1:25" ht="1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row>
    <row r="422" spans="1:25" ht="1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row>
    <row r="423" spans="1:25" ht="1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row>
    <row r="424" spans="1:25" ht="1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row>
    <row r="425" spans="1:25" ht="1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row>
    <row r="426" spans="1:25" ht="1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row>
    <row r="427" spans="1:25" ht="1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row>
    <row r="428" spans="1:25" ht="1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row>
    <row r="429" spans="1:25" ht="1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row>
    <row r="430" spans="1:25" ht="1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row>
    <row r="431" spans="1:25" ht="1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row>
    <row r="432" spans="1:25" ht="1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row>
    <row r="433" spans="1:25" ht="1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row>
    <row r="434" spans="1:25" ht="1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row>
    <row r="435" spans="1:25" ht="1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row>
    <row r="436" spans="1:25" ht="1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row>
    <row r="437" spans="1:25" ht="1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row>
    <row r="438" spans="1:25" ht="1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row>
    <row r="439" spans="1:25" ht="1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row>
    <row r="440" spans="1:25" ht="1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row>
    <row r="441" spans="1:25" ht="1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row>
    <row r="442" spans="1:25" ht="1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row>
    <row r="443" spans="1:25" ht="1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row>
    <row r="444" spans="1:25" ht="1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row>
    <row r="445" spans="1:25" ht="1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row>
    <row r="446" spans="1:25" ht="1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row>
    <row r="447" spans="1:25" ht="1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row>
    <row r="448" spans="1:25" ht="1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row>
    <row r="449" spans="1:25" ht="1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row>
    <row r="450" spans="1:25" ht="1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row>
    <row r="451" spans="1:25" ht="1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row>
    <row r="452" spans="1:25" ht="1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row>
    <row r="453" spans="1:25" ht="1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row>
    <row r="454" spans="1:25" ht="1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row>
    <row r="455" spans="1:25" ht="1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row>
    <row r="456" spans="1:25" ht="1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row>
    <row r="457" spans="1:25" ht="1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row>
    <row r="458" spans="1:25" ht="1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row>
    <row r="459" spans="1:25" ht="1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row>
    <row r="460" spans="1:25" ht="1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row>
    <row r="461" spans="1:25" ht="1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row>
    <row r="462" spans="1:25" ht="1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row>
    <row r="463" spans="1:25" ht="1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row>
    <row r="464" spans="1:25" ht="1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row>
    <row r="465" spans="1:25" ht="1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row>
    <row r="466" spans="1:25" ht="1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row>
    <row r="467" spans="1:25" ht="1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row>
    <row r="468" spans="1:25" ht="1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row>
    <row r="469" spans="1:25" ht="1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row>
    <row r="470" spans="1:25" ht="1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row>
    <row r="471" spans="1:25" ht="1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row>
    <row r="472" spans="1:25" ht="1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row>
    <row r="473" spans="1:25" ht="1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row>
    <row r="474" spans="1:25" ht="1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row>
    <row r="475" spans="1:25" ht="1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row>
    <row r="476" spans="1:25" ht="1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row>
    <row r="477" spans="1:25" ht="1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row>
    <row r="478" spans="1:25" ht="1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row>
    <row r="479" spans="1:25" ht="1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row>
    <row r="480" spans="1:25" ht="1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row>
    <row r="481" spans="1:25" ht="1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row>
    <row r="482" spans="1:25" ht="1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row>
    <row r="483" spans="1:25" ht="1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row>
    <row r="484" spans="1:25" ht="1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row>
    <row r="485" spans="1:25" ht="1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row>
    <row r="486" spans="1:25" ht="1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row>
    <row r="487" spans="1:25" ht="1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row>
    <row r="488" spans="1:25" ht="1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row>
    <row r="489" spans="1:25" ht="1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row>
    <row r="490" spans="1:25" ht="1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spans="1:25" ht="1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spans="1:25" ht="1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spans="1:25" ht="1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spans="1:25" ht="1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spans="1:25" ht="1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spans="1:25" ht="1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spans="1:25" ht="1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spans="1:25" ht="1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spans="1:25" ht="1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spans="1:25" ht="1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spans="1:25" ht="1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spans="1:25" ht="1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spans="1:25" ht="1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spans="1:25" ht="1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spans="1:25" ht="1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spans="1:25" ht="1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spans="1:25" ht="1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spans="1:25" ht="1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spans="1:25" ht="1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spans="1:25" ht="1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spans="1:25" ht="1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spans="1:25" ht="1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spans="1:25" ht="1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spans="1:25" ht="1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spans="1:25" ht="1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spans="1:25" ht="1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spans="1:25" ht="1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spans="1:25" ht="1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spans="1:25" ht="1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spans="1:25" ht="1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spans="1:25" ht="1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spans="1:25" ht="1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spans="1:25" ht="1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spans="1:25" ht="1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spans="1:25" ht="1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spans="1:25" ht="1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spans="1:25" ht="1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spans="1:25" ht="1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spans="1:25" ht="1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spans="1:25" ht="1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spans="1:25" ht="1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spans="1:25" ht="1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spans="1:25" ht="1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spans="1:25" ht="1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spans="1:25" ht="1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spans="1:25" ht="1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spans="1:25" ht="1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spans="1:25" ht="1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spans="1:25" ht="1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spans="1:25" ht="1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spans="1:25" ht="1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spans="1:25" ht="1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spans="1:25" ht="1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spans="1:25" ht="1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spans="1:25" ht="1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spans="1:25" ht="1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spans="1:25" ht="1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spans="1:25" ht="1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spans="1:25" ht="1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spans="1:25" ht="1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spans="1:25" ht="1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spans="1:25" ht="1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spans="1:25" ht="1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spans="1:25" ht="1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spans="1:25" ht="1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spans="1:25" ht="1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spans="1:25" ht="1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spans="1:25" ht="1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spans="1:25" ht="1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spans="1:25" ht="1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spans="1:25" ht="1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spans="1:25" ht="1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spans="1:25" ht="1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spans="1:25" ht="1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spans="1:25" ht="1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spans="1:25" ht="1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spans="1:25" ht="1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spans="1:25" ht="1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spans="1:25" ht="1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spans="1:25" ht="1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spans="1:25" ht="1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spans="1:25" ht="1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spans="1:25" ht="1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spans="1:25" ht="1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spans="1:25" ht="1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spans="1:25" ht="1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spans="1:25" ht="1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spans="1:25" ht="1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spans="1:25" ht="1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spans="1:25" ht="1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spans="1:25" ht="1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spans="1:25" ht="1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spans="1:25" ht="1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spans="1:25" ht="1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spans="1:25" ht="1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spans="1:25" ht="1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spans="1:25" ht="1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spans="1:25" ht="1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spans="1:25" ht="1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spans="1:25" ht="1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spans="1:25" ht="1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spans="1:25" ht="1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spans="1:25" ht="1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spans="1:25" ht="1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spans="1:25" ht="1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spans="1:25" ht="1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spans="1:25" ht="1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spans="1:25" ht="1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spans="1:25" ht="1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spans="1:25" ht="1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spans="1:25" ht="1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spans="1:25" ht="1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spans="1:25" ht="1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spans="1:25" ht="1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spans="1:25" ht="1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spans="1:25" ht="1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spans="1:25" ht="1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spans="1:25" ht="1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spans="1:25" ht="1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spans="1:25" ht="1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spans="1:25" ht="1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spans="1:25" ht="1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spans="1:25" ht="1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spans="1:25" ht="1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spans="1:25" ht="1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spans="1:25" ht="1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spans="1:25" ht="1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spans="1:25" ht="1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spans="1:25" ht="1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spans="1:25" ht="1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spans="1:25" ht="1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spans="1:25" ht="1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spans="1:25" ht="1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spans="1:25" ht="1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spans="1:25" ht="1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spans="1:25" ht="1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spans="1:25" ht="1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spans="1:25" ht="1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spans="1:25" ht="1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spans="1:25" ht="1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spans="1:25" ht="1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spans="1:25" ht="1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spans="1:25" ht="1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spans="1:25" ht="1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spans="1:25" ht="1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spans="1:25" ht="1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spans="1:25" ht="1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spans="1:25" ht="1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spans="1:25" ht="1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spans="1:25" ht="1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spans="1:25" ht="1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spans="1:25" ht="1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spans="1:25" ht="1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spans="1:25" ht="1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spans="1:25" ht="1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spans="1:25" ht="1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spans="1:25" ht="1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spans="1:25" ht="1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spans="1:25" ht="1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spans="1:25" ht="1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spans="1:25" ht="1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spans="1:25" ht="1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spans="1:25" ht="1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spans="1:25" ht="1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spans="1:25" ht="1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spans="1:25" ht="1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spans="1:25" ht="1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spans="1:25" ht="1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spans="1:25" ht="1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spans="1:25" ht="1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spans="1:25" ht="1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spans="1:25" ht="1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spans="1:25" ht="1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spans="1:25" ht="1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spans="1:25" ht="1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spans="1:25" ht="1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spans="1:25" ht="1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spans="1:25" ht="1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spans="1:25" ht="1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spans="1:25" ht="1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spans="1:25" ht="1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spans="1:25" ht="1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spans="1:25" ht="1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spans="1:25" ht="1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spans="1:25" ht="1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spans="1:25" ht="1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spans="1:25" ht="1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spans="1:25" ht="1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spans="1:25" ht="1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spans="1:25" ht="1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spans="1:25" ht="1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spans="1:25" ht="1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spans="1:25" ht="1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spans="1:25" ht="1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spans="1:25" ht="1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spans="1:25" ht="1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spans="1:25" ht="1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spans="1:25" ht="1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spans="1:25" ht="1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spans="1:25" ht="1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spans="1:25" ht="1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spans="1:25" ht="1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spans="1:25" ht="1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spans="1:25" ht="1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spans="1:25" ht="1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spans="1:25" ht="1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spans="1:25" ht="1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spans="1:25" ht="1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spans="1:25" ht="1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spans="1:25" ht="1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spans="1:25" ht="1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spans="1:25" ht="1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spans="1:25" ht="1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spans="1:25" ht="1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spans="1:25" ht="1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spans="1:25" ht="1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spans="1:25" ht="1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spans="1:25" ht="1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spans="1:25" ht="1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spans="1:25" ht="1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spans="1:25" ht="1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spans="1:25" ht="1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spans="1:25" ht="1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spans="1:25" ht="1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spans="1:25" ht="1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spans="1:25" ht="1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spans="1:25" ht="1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spans="1:25" ht="1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spans="1:25" ht="1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spans="1:25" ht="1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spans="1:25" ht="1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spans="1:25" ht="1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spans="1:25" ht="1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spans="1:25" ht="1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spans="1:25" ht="1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spans="1:25" ht="1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spans="1:25" ht="1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spans="1:25" ht="1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spans="1:25" ht="1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spans="1:25" ht="1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spans="1:25" ht="1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spans="1:25" ht="1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spans="1:25" ht="1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spans="1:25" ht="1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spans="1:25" ht="1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spans="1:25" ht="1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spans="1:25" ht="1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spans="1:25" ht="1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spans="1:25" ht="1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spans="1:25" ht="1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spans="1:25" ht="1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spans="1:25" ht="1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spans="1:25" ht="1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spans="1:25" ht="1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spans="1:25" ht="1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spans="1:25" ht="1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spans="1:25" ht="1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spans="1:25" ht="1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spans="1:25" ht="1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spans="1:25" ht="1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spans="1:25" ht="1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spans="1:25" ht="1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spans="1:25" ht="1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spans="1:25" ht="1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spans="1:25" ht="1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spans="1:25" ht="1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spans="1:25" ht="1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spans="1:25" ht="1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spans="1:25" ht="1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spans="1:25" ht="1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spans="1:25" ht="1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spans="1:25" ht="1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spans="1:25" ht="1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spans="1:25" ht="1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spans="1:25" ht="1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spans="1:25" ht="1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spans="1:25" ht="1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spans="1:25" ht="1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spans="1:25" ht="1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spans="1:25" ht="1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spans="1:25" ht="1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spans="1:25" ht="1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spans="1:25" ht="1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spans="1:25" ht="1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spans="1:25" ht="1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spans="1:25" ht="1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spans="1:25" ht="1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spans="1:25" ht="1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spans="1:25" ht="1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spans="1:25" ht="1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spans="1:25" ht="1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spans="1:25" ht="1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spans="1:25" ht="1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spans="1:25" ht="1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spans="1:25" ht="1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spans="1:25" ht="1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spans="1:25" ht="1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spans="1:25" ht="1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spans="1:25" ht="1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spans="1:25" ht="1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spans="1:25" ht="1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spans="1:25" ht="1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spans="1:25" ht="1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spans="1:25" ht="1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spans="1:25" ht="1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spans="1:25" ht="1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spans="1:25" ht="1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spans="1:25" ht="1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spans="1:25" ht="1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spans="1:25" ht="1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spans="1:25" ht="1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spans="1:25" ht="1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spans="1:25" ht="1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spans="1:25" ht="1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spans="1:25" ht="1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spans="1:25" ht="1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spans="1:25" ht="1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spans="1:25" ht="1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spans="1:25" ht="1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spans="1:25" ht="1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spans="1:25" ht="1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spans="1:25" ht="1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spans="1:25" ht="1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spans="1:25" ht="1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spans="1:25" ht="1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spans="1:25" ht="1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spans="1:25" ht="1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spans="1:25" ht="1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spans="1:25" ht="1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spans="1:25" ht="1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spans="1:25" ht="1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spans="1:25" ht="1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spans="1:25" ht="1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spans="1:25" ht="1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spans="1:25" ht="1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spans="1:25" ht="1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spans="1:25" ht="1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spans="1:25" ht="1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spans="1:25" ht="1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spans="1:25" ht="1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spans="1:25" ht="1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spans="1:25" ht="1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spans="1:25" ht="1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spans="1:25" ht="1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spans="1:25" ht="1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spans="1:25" ht="1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spans="1:25" ht="1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spans="1:25" ht="1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spans="1:25" ht="1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spans="1:25" ht="1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spans="1:25" ht="1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spans="1:25" ht="1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spans="1:25" ht="1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spans="1:25" ht="1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spans="1:25" ht="1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spans="1:25" ht="1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spans="1:25" ht="1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spans="1:25" ht="1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spans="1:25" ht="1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spans="1:25" ht="1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spans="1:25" ht="1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spans="1:25" ht="1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spans="1:25" ht="1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spans="1:25" ht="1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spans="1:25" ht="1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spans="1:25" ht="1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spans="1:25" ht="1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spans="1:25" ht="1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spans="1:25" ht="1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spans="1:25" ht="1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spans="1:25" ht="1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spans="1:25" ht="1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spans="1:25" ht="1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spans="1:25" ht="1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spans="1:25" ht="1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spans="1:25" ht="1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spans="1:25" ht="1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spans="1:25" ht="1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spans="1:25" ht="1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spans="1:25" ht="1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spans="1:25" ht="1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spans="1:25" ht="1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spans="1:25" ht="1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spans="1:25" ht="1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spans="1:25" ht="1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spans="1:25" ht="1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spans="1:25" ht="1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spans="1:25" ht="1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spans="1:25" ht="1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spans="1:25" ht="1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spans="1:25" ht="1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spans="1:25" ht="1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spans="1:25" ht="1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spans="1:25" ht="1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spans="1:25" ht="1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spans="1:25" ht="1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spans="1:25" ht="1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spans="1:25" ht="1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spans="1:25" ht="1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spans="1:25" ht="1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spans="1:25" ht="1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spans="1:25" ht="1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spans="1:25" ht="1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spans="1:25" ht="1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spans="1:25" ht="1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spans="1:25" ht="1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spans="1:25" ht="1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spans="1:25" ht="1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spans="1:25" ht="1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spans="1:25" ht="1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spans="1:25" ht="1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spans="1:25" ht="1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spans="1:25" ht="1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spans="1:25" ht="1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spans="1:25" ht="1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spans="1:25" ht="1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spans="1:25" ht="1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spans="1:25" ht="1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spans="1:25" ht="1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spans="1:25" ht="1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spans="1:25" ht="1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spans="1:25" ht="1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spans="1:25" ht="1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spans="1:25" ht="1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spans="1:25" ht="1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spans="1:25" ht="1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spans="1:25" ht="1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spans="1:25" ht="1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spans="1:25" ht="1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spans="1:25" ht="1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spans="1:25" ht="1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spans="1:25" ht="1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spans="1:25" ht="1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spans="1:25" ht="1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spans="1:25" ht="1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spans="1:25" ht="1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spans="1:25" ht="1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spans="1:25" ht="1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spans="1:25" ht="1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spans="1:25" ht="1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spans="1:25" ht="1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spans="1:25" ht="1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spans="1:25" ht="1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spans="1:25" ht="1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spans="1:25" ht="1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spans="1:25" ht="1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spans="1:25" ht="1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spans="1:25" ht="1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spans="1:25" ht="1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spans="1:25" ht="1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spans="1:25" ht="1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spans="1:25" ht="1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spans="1:25" ht="1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spans="1:25" ht="1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spans="1:25" ht="1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spans="1:25" ht="1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spans="1:25" ht="1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spans="1:25" ht="1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spans="1:25" ht="1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spans="1:25" ht="1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spans="1:25" ht="1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spans="1:25" ht="1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spans="1:25" ht="1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spans="1:25" ht="1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spans="1:25" ht="1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spans="1:25" ht="1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spans="1:25" ht="1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spans="1:25" ht="1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spans="1:25" ht="1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spans="1:25" ht="1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spans="1:25" ht="1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spans="1:25" ht="1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spans="1:25" ht="1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spans="1:25" ht="1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spans="1:25" ht="1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spans="1:25" ht="1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spans="1:25" ht="1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spans="1:25" ht="1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spans="1:25" ht="1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spans="1:25" ht="1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spans="1:25" ht="1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spans="1:25" ht="1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spans="1:25" ht="1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spans="1:25" ht="1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spans="1:25" ht="1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spans="1:25" ht="1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spans="1:25" ht="1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spans="1:25" ht="1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spans="1:25" ht="1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row r="980" spans="1:25" ht="1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row>
    <row r="981" spans="1:25" ht="1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row>
    <row r="982" spans="1:25" ht="1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row>
    <row r="983" spans="1:25" ht="1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row>
    <row r="984" spans="1:25" ht="1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row>
    <row r="985" spans="1:25" ht="1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row>
    <row r="986" spans="1:25" ht="1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row>
    <row r="987" spans="1:25" ht="1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row>
    <row r="988" spans="1:25" ht="1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row>
    <row r="989" spans="1:25" ht="1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row>
    <row r="990" spans="1:25" ht="1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row>
    <row r="991" spans="1:25" ht="1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row>
    <row r="992" spans="1:25" ht="1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row>
    <row r="993" spans="1:25" ht="1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row>
    <row r="994" spans="1:25" ht="1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row>
    <row r="995" spans="1:25" ht="1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row>
    <row r="996" spans="1:25" ht="1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row>
    <row r="997" spans="1:25" ht="1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row>
    <row r="998" spans="1:25" ht="1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row>
  </sheetData>
  <mergeCells count="57">
    <mergeCell ref="A25:B27"/>
    <mergeCell ref="C15:D15"/>
    <mergeCell ref="A24:H24"/>
    <mergeCell ref="C27:H27"/>
    <mergeCell ref="C26:H26"/>
    <mergeCell ref="C25:H25"/>
    <mergeCell ref="C20:D20"/>
    <mergeCell ref="C21:D21"/>
    <mergeCell ref="E20:F20"/>
    <mergeCell ref="E21:F21"/>
    <mergeCell ref="G19:H19"/>
    <mergeCell ref="G20:H20"/>
    <mergeCell ref="G21:H21"/>
    <mergeCell ref="E19:F19"/>
    <mergeCell ref="A28:B31"/>
    <mergeCell ref="A32:B36"/>
    <mergeCell ref="C32:H32"/>
    <mergeCell ref="C33:H33"/>
    <mergeCell ref="C34:H34"/>
    <mergeCell ref="C35:H35"/>
    <mergeCell ref="C36:H36"/>
    <mergeCell ref="C31:H31"/>
    <mergeCell ref="C30:H30"/>
    <mergeCell ref="C29:H29"/>
    <mergeCell ref="C28:H28"/>
    <mergeCell ref="A4:H4"/>
    <mergeCell ref="A3:D3"/>
    <mergeCell ref="C5:H5"/>
    <mergeCell ref="C6:H6"/>
    <mergeCell ref="A1:B2"/>
    <mergeCell ref="C1:F2"/>
    <mergeCell ref="A5:B5"/>
    <mergeCell ref="A6:B6"/>
    <mergeCell ref="C7:H7"/>
    <mergeCell ref="C8:H8"/>
    <mergeCell ref="C9:H9"/>
    <mergeCell ref="C10:H10"/>
    <mergeCell ref="A13:H13"/>
    <mergeCell ref="A7:B7"/>
    <mergeCell ref="A8:B8"/>
    <mergeCell ref="A9:B9"/>
    <mergeCell ref="A10:B10"/>
    <mergeCell ref="E14:F14"/>
    <mergeCell ref="E15:F15"/>
    <mergeCell ref="E16:F16"/>
    <mergeCell ref="E17:F17"/>
    <mergeCell ref="E18:F18"/>
    <mergeCell ref="C14:D14"/>
    <mergeCell ref="C16:D16"/>
    <mergeCell ref="C17:D17"/>
    <mergeCell ref="C18:D18"/>
    <mergeCell ref="C19:D19"/>
    <mergeCell ref="G14:H14"/>
    <mergeCell ref="G15:H15"/>
    <mergeCell ref="G16:H16"/>
    <mergeCell ref="G17:H17"/>
    <mergeCell ref="G18:H18"/>
  </mergeCells>
  <pageMargins left="0.7" right="0.7" top="0.75" bottom="0.75" header="0.3" footer="0.3"/>
  <pageSetup scale="63" orientation="portrait" r:id="rId1"/>
  <rowBreaks count="1" manualBreakCount="1">
    <brk id="36" max="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0"/>
  <sheetViews>
    <sheetView view="pageBreakPreview" zoomScaleNormal="100" zoomScaleSheetLayoutView="100" workbookViewId="0">
      <selection activeCell="H10" sqref="H10"/>
    </sheetView>
  </sheetViews>
  <sheetFormatPr defaultColWidth="14.42578125" defaultRowHeight="16.5"/>
  <cols>
    <col min="1" max="1" width="8.5703125" style="72" customWidth="1"/>
    <col min="2" max="2" width="36.42578125" style="72" customWidth="1"/>
    <col min="3" max="9" width="11.5703125" style="72" customWidth="1"/>
    <col min="10" max="10" width="33.5703125" style="72" customWidth="1"/>
    <col min="11" max="26" width="9.140625" style="72" customWidth="1"/>
    <col min="27" max="16384" width="14.42578125" style="72"/>
  </cols>
  <sheetData>
    <row r="1" spans="1:10">
      <c r="A1" s="200" t="s">
        <v>75</v>
      </c>
      <c r="B1" s="201"/>
      <c r="C1" s="201"/>
      <c r="D1" s="201"/>
      <c r="E1" s="201"/>
    </row>
    <row r="2" spans="1:10">
      <c r="A2" s="73"/>
      <c r="B2" s="74"/>
      <c r="C2" s="75"/>
      <c r="D2" s="75"/>
      <c r="E2" s="74"/>
    </row>
    <row r="3" spans="1:10">
      <c r="A3" s="122" t="s">
        <v>76</v>
      </c>
      <c r="B3" s="92"/>
      <c r="C3" s="202" t="s">
        <v>76</v>
      </c>
      <c r="D3" s="203"/>
      <c r="E3" s="204"/>
    </row>
    <row r="4" spans="1:10">
      <c r="A4" s="122" t="s">
        <v>77</v>
      </c>
      <c r="B4" s="92"/>
      <c r="C4" s="202" t="s">
        <v>77</v>
      </c>
      <c r="D4" s="203"/>
      <c r="E4" s="204"/>
    </row>
    <row r="5" spans="1:10" ht="15" customHeight="1">
      <c r="A5" s="205" t="s">
        <v>78</v>
      </c>
      <c r="B5" s="266"/>
      <c r="C5" s="206" t="s">
        <v>79</v>
      </c>
      <c r="D5" s="206"/>
      <c r="E5" s="207"/>
    </row>
    <row r="6" spans="1:10" ht="15" customHeight="1">
      <c r="A6" s="198" t="s">
        <v>80</v>
      </c>
      <c r="B6" s="198"/>
      <c r="C6" s="199" t="s">
        <v>81</v>
      </c>
      <c r="D6" s="199"/>
      <c r="E6" s="199"/>
    </row>
    <row r="7" spans="1:10" ht="31.7" customHeight="1">
      <c r="A7" s="194" t="s">
        <v>82</v>
      </c>
      <c r="B7" s="195"/>
      <c r="C7" s="196" t="s">
        <v>83</v>
      </c>
      <c r="D7" s="196"/>
      <c r="E7" s="197"/>
    </row>
    <row r="8" spans="1:10" ht="15" customHeight="1">
      <c r="A8" s="198" t="s">
        <v>84</v>
      </c>
      <c r="B8" s="198"/>
      <c r="C8" s="199" t="s">
        <v>85</v>
      </c>
      <c r="D8" s="199"/>
      <c r="E8" s="199"/>
    </row>
    <row r="9" spans="1:10" ht="15" customHeight="1">
      <c r="A9" s="198" t="s">
        <v>86</v>
      </c>
      <c r="B9" s="198"/>
      <c r="C9" s="199" t="s">
        <v>87</v>
      </c>
      <c r="D9" s="199"/>
      <c r="E9" s="199"/>
    </row>
    <row r="10" spans="1:10">
      <c r="A10" s="76"/>
      <c r="B10" s="77"/>
      <c r="C10" s="77"/>
      <c r="D10" s="77"/>
      <c r="E10" s="77"/>
    </row>
    <row r="11" spans="1:10">
      <c r="A11" s="182" t="s">
        <v>88</v>
      </c>
      <c r="B11" s="267"/>
      <c r="C11" s="267"/>
      <c r="D11" s="267"/>
      <c r="E11" s="267"/>
    </row>
    <row r="12" spans="1:10" ht="15" customHeight="1">
      <c r="A12" s="193" t="s">
        <v>89</v>
      </c>
      <c r="B12" s="190" t="s">
        <v>90</v>
      </c>
      <c r="C12" s="190" t="s">
        <v>91</v>
      </c>
      <c r="D12" s="190" t="s">
        <v>92</v>
      </c>
      <c r="E12" s="268"/>
      <c r="F12" s="268"/>
      <c r="G12" s="190" t="s">
        <v>93</v>
      </c>
      <c r="H12" s="268"/>
      <c r="I12" s="268"/>
      <c r="J12" s="180" t="s">
        <v>94</v>
      </c>
    </row>
    <row r="13" spans="1:10" ht="15" customHeight="1">
      <c r="A13" s="268"/>
      <c r="B13" s="269"/>
      <c r="C13" s="268"/>
      <c r="D13" s="78" t="s">
        <v>95</v>
      </c>
      <c r="E13" s="78" t="s">
        <v>96</v>
      </c>
      <c r="F13" s="78" t="s">
        <v>97</v>
      </c>
      <c r="G13" s="78" t="s">
        <v>95</v>
      </c>
      <c r="H13" s="78" t="s">
        <v>96</v>
      </c>
      <c r="I13" s="78" t="s">
        <v>97</v>
      </c>
      <c r="J13" s="180"/>
    </row>
    <row r="14" spans="1:10">
      <c r="A14" s="79">
        <v>1</v>
      </c>
      <c r="B14" s="80" t="s">
        <v>12</v>
      </c>
      <c r="C14" s="81">
        <f>'Tên chức năng'!G7</f>
        <v>17</v>
      </c>
      <c r="D14" s="82">
        <f>'Tên chức năng'!A7</f>
        <v>17</v>
      </c>
      <c r="E14" s="82">
        <f>'Tên chức năng'!B7</f>
        <v>0</v>
      </c>
      <c r="F14" s="82">
        <f>'Tên chức năng'!C7</f>
        <v>0</v>
      </c>
      <c r="G14" s="82">
        <f>'Tên chức năng'!D7</f>
        <v>0</v>
      </c>
      <c r="H14" s="82">
        <f>'Tên chức năng'!E7</f>
        <v>0</v>
      </c>
      <c r="I14" s="82">
        <f>'Tên chức năng'!F7</f>
        <v>0</v>
      </c>
      <c r="J14" s="83"/>
    </row>
    <row r="15" spans="1:10">
      <c r="A15" s="79">
        <v>2</v>
      </c>
      <c r="B15" s="80" t="s">
        <v>98</v>
      </c>
      <c r="C15" s="81">
        <f>'Tên API'!G7</f>
        <v>2</v>
      </c>
      <c r="D15" s="84">
        <f>'Tên API'!A7</f>
        <v>1</v>
      </c>
      <c r="E15" s="84">
        <f>'Tên API'!B7</f>
        <v>1</v>
      </c>
      <c r="F15" s="84">
        <f>'Tên API'!C7</f>
        <v>0</v>
      </c>
      <c r="G15" s="84">
        <f>'Tên API'!D7</f>
        <v>0</v>
      </c>
      <c r="H15" s="84">
        <f>'Tên API'!E7</f>
        <v>0</v>
      </c>
      <c r="I15" s="84">
        <f>'Tên API'!F7</f>
        <v>0</v>
      </c>
      <c r="J15" s="83"/>
    </row>
    <row r="16" spans="1:10">
      <c r="A16" s="79"/>
      <c r="B16" s="80"/>
      <c r="C16" s="81"/>
      <c r="D16" s="84"/>
      <c r="E16" s="84"/>
      <c r="F16" s="84"/>
      <c r="G16" s="84"/>
      <c r="H16" s="84"/>
      <c r="I16" s="84"/>
      <c r="J16" s="83"/>
    </row>
    <row r="17" spans="1:10">
      <c r="A17" s="79"/>
      <c r="B17" s="80"/>
      <c r="C17" s="81"/>
      <c r="D17" s="84"/>
      <c r="E17" s="84"/>
      <c r="F17" s="84"/>
      <c r="G17" s="84"/>
      <c r="H17" s="84"/>
      <c r="I17" s="84"/>
      <c r="J17" s="83"/>
    </row>
    <row r="18" spans="1:10" ht="15" customHeight="1">
      <c r="A18" s="181" t="s">
        <v>99</v>
      </c>
      <c r="B18" s="270"/>
      <c r="C18" s="85">
        <f>SUM(C14:C17)</f>
        <v>19</v>
      </c>
      <c r="D18" s="85">
        <f t="shared" ref="D18:I18" si="0">SUM(D14:D17)</f>
        <v>18</v>
      </c>
      <c r="E18" s="85">
        <f t="shared" si="0"/>
        <v>1</v>
      </c>
      <c r="F18" s="85">
        <f t="shared" si="0"/>
        <v>0</v>
      </c>
      <c r="G18" s="85">
        <f t="shared" si="0"/>
        <v>0</v>
      </c>
      <c r="H18" s="85">
        <f t="shared" si="0"/>
        <v>0</v>
      </c>
      <c r="I18" s="85">
        <f t="shared" si="0"/>
        <v>0</v>
      </c>
      <c r="J18" s="86"/>
    </row>
    <row r="19" spans="1:10" ht="15" customHeight="1">
      <c r="A19" s="87"/>
      <c r="B19" s="87"/>
      <c r="C19" s="87"/>
      <c r="D19" s="87"/>
      <c r="E19" s="87"/>
      <c r="F19" s="88"/>
      <c r="G19" s="88"/>
      <c r="H19" s="87"/>
    </row>
    <row r="20" spans="1:10" ht="15" customHeight="1"/>
    <row r="21" spans="1:10" ht="19.5" customHeight="1">
      <c r="A21" s="182" t="s">
        <v>100</v>
      </c>
      <c r="B21" s="267"/>
      <c r="C21" s="267"/>
    </row>
    <row r="22" spans="1:10" ht="15.75" customHeight="1">
      <c r="A22" s="183" t="s">
        <v>69</v>
      </c>
      <c r="B22" s="184"/>
      <c r="C22" s="187" t="s">
        <v>101</v>
      </c>
      <c r="D22" s="188"/>
      <c r="E22" s="188"/>
      <c r="F22" s="189"/>
    </row>
    <row r="23" spans="1:10" ht="15.75" customHeight="1">
      <c r="A23" s="185"/>
      <c r="B23" s="186"/>
      <c r="C23" s="89" t="s">
        <v>102</v>
      </c>
      <c r="D23" s="89" t="s">
        <v>103</v>
      </c>
      <c r="E23" s="89" t="s">
        <v>104</v>
      </c>
      <c r="F23" s="89" t="s">
        <v>105</v>
      </c>
    </row>
    <row r="24" spans="1:10" ht="15.75" customHeight="1">
      <c r="A24" s="191" t="s">
        <v>106</v>
      </c>
      <c r="B24" s="192"/>
      <c r="C24" s="90"/>
      <c r="D24" s="90"/>
      <c r="E24" s="90"/>
      <c r="F24" s="90"/>
    </row>
    <row r="25" spans="1:10" ht="15" customHeight="1">
      <c r="A25" s="91"/>
    </row>
    <row r="26" spans="1:10" ht="15" customHeight="1">
      <c r="A26" s="91"/>
    </row>
    <row r="27" spans="1:10" ht="15" customHeight="1">
      <c r="A27" s="91"/>
    </row>
    <row r="28" spans="1:10" ht="15" customHeight="1">
      <c r="A28" s="91"/>
    </row>
    <row r="29" spans="1:10" ht="15" customHeight="1">
      <c r="A29" s="91"/>
    </row>
    <row r="30" spans="1:10" ht="15" customHeight="1">
      <c r="A30" s="91"/>
    </row>
    <row r="31" spans="1:10" ht="15" customHeight="1">
      <c r="A31" s="91"/>
    </row>
    <row r="32" spans="1:10" ht="15" customHeight="1">
      <c r="A32" s="91"/>
    </row>
    <row r="33" spans="1:1" ht="15" customHeight="1">
      <c r="A33" s="91"/>
    </row>
    <row r="34" spans="1:1" ht="15" customHeight="1">
      <c r="A34" s="91"/>
    </row>
    <row r="35" spans="1:1" ht="15" customHeight="1">
      <c r="A35" s="91"/>
    </row>
    <row r="36" spans="1:1" ht="15" customHeight="1">
      <c r="A36" s="91"/>
    </row>
    <row r="37" spans="1:1" ht="15" customHeight="1">
      <c r="A37" s="91"/>
    </row>
    <row r="38" spans="1:1" ht="15" customHeight="1">
      <c r="A38" s="91"/>
    </row>
    <row r="39" spans="1:1" ht="15" customHeight="1">
      <c r="A39" s="91"/>
    </row>
    <row r="40" spans="1:1" ht="15" customHeight="1">
      <c r="A40" s="91"/>
    </row>
    <row r="41" spans="1:1" ht="15" customHeight="1">
      <c r="A41" s="91"/>
    </row>
    <row r="42" spans="1:1" ht="15" customHeight="1">
      <c r="A42" s="91"/>
    </row>
    <row r="43" spans="1:1" ht="15" customHeight="1">
      <c r="A43" s="91"/>
    </row>
    <row r="44" spans="1:1" ht="15" customHeight="1">
      <c r="A44" s="91"/>
    </row>
    <row r="45" spans="1:1" ht="15" customHeight="1">
      <c r="A45" s="91"/>
    </row>
    <row r="46" spans="1:1" ht="15" customHeight="1">
      <c r="A46" s="91"/>
    </row>
    <row r="47" spans="1:1" ht="15" customHeight="1">
      <c r="A47" s="91"/>
    </row>
    <row r="48" spans="1:1" ht="15" customHeight="1">
      <c r="A48" s="91"/>
    </row>
    <row r="49" spans="1:1" ht="15" customHeight="1">
      <c r="A49" s="91"/>
    </row>
    <row r="50" spans="1:1" ht="15" customHeight="1">
      <c r="A50" s="91"/>
    </row>
    <row r="51" spans="1:1" ht="15" customHeight="1">
      <c r="A51" s="91"/>
    </row>
    <row r="52" spans="1:1" ht="15" customHeight="1">
      <c r="A52" s="91"/>
    </row>
    <row r="53" spans="1:1" ht="15" customHeight="1">
      <c r="A53" s="91"/>
    </row>
    <row r="54" spans="1:1" ht="15" customHeight="1">
      <c r="A54" s="91"/>
    </row>
    <row r="55" spans="1:1" ht="15" customHeight="1">
      <c r="A55" s="91"/>
    </row>
    <row r="56" spans="1:1" ht="15" customHeight="1">
      <c r="A56" s="91"/>
    </row>
    <row r="57" spans="1:1" ht="15" customHeight="1">
      <c r="A57" s="91"/>
    </row>
    <row r="58" spans="1:1" ht="15" customHeight="1">
      <c r="A58" s="91"/>
    </row>
    <row r="59" spans="1:1" ht="15" customHeight="1">
      <c r="A59" s="91"/>
    </row>
    <row r="60" spans="1:1" ht="15" customHeight="1">
      <c r="A60" s="91"/>
    </row>
    <row r="61" spans="1:1" ht="15" customHeight="1">
      <c r="A61" s="91"/>
    </row>
    <row r="62" spans="1:1" ht="15" customHeight="1">
      <c r="A62" s="91"/>
    </row>
    <row r="63" spans="1:1" ht="15" customHeight="1">
      <c r="A63" s="91"/>
    </row>
    <row r="64" spans="1:1" ht="15" customHeight="1">
      <c r="A64" s="91"/>
    </row>
    <row r="65" spans="1:1" ht="15" customHeight="1">
      <c r="A65" s="91"/>
    </row>
    <row r="66" spans="1:1" ht="15" customHeight="1">
      <c r="A66" s="91"/>
    </row>
    <row r="67" spans="1:1" ht="15" customHeight="1">
      <c r="A67" s="91"/>
    </row>
    <row r="68" spans="1:1" ht="15" customHeight="1">
      <c r="A68" s="91"/>
    </row>
    <row r="69" spans="1:1" ht="15" customHeight="1">
      <c r="A69" s="91"/>
    </row>
    <row r="70" spans="1:1" ht="15" customHeight="1">
      <c r="A70" s="91"/>
    </row>
    <row r="71" spans="1:1" ht="15" customHeight="1">
      <c r="A71" s="91"/>
    </row>
    <row r="72" spans="1:1" ht="15" customHeight="1">
      <c r="A72" s="91"/>
    </row>
    <row r="73" spans="1:1" ht="15" customHeight="1">
      <c r="A73" s="91"/>
    </row>
    <row r="74" spans="1:1" ht="15" customHeight="1">
      <c r="A74" s="91"/>
    </row>
    <row r="75" spans="1:1" ht="15" customHeight="1">
      <c r="A75" s="91"/>
    </row>
    <row r="76" spans="1:1" ht="15" customHeight="1">
      <c r="A76" s="91"/>
    </row>
    <row r="77" spans="1:1" ht="15" customHeight="1">
      <c r="A77" s="91"/>
    </row>
    <row r="78" spans="1:1" ht="15" customHeight="1">
      <c r="A78" s="91"/>
    </row>
    <row r="79" spans="1:1" ht="15" customHeight="1">
      <c r="A79" s="91"/>
    </row>
    <row r="80" spans="1:1" ht="15" customHeight="1">
      <c r="A80" s="91"/>
    </row>
    <row r="81" spans="1:1" ht="15" customHeight="1">
      <c r="A81" s="91"/>
    </row>
    <row r="82" spans="1:1" ht="15" customHeight="1">
      <c r="A82" s="91"/>
    </row>
    <row r="83" spans="1:1" ht="15" customHeight="1">
      <c r="A83" s="91"/>
    </row>
    <row r="84" spans="1:1" ht="15" customHeight="1">
      <c r="A84" s="91"/>
    </row>
    <row r="85" spans="1:1" ht="15" customHeight="1">
      <c r="A85" s="91"/>
    </row>
    <row r="86" spans="1:1" ht="15" customHeight="1">
      <c r="A86" s="91"/>
    </row>
    <row r="87" spans="1:1" ht="15" customHeight="1">
      <c r="A87" s="91"/>
    </row>
    <row r="88" spans="1:1" ht="15" customHeight="1">
      <c r="A88" s="91"/>
    </row>
    <row r="89" spans="1:1" ht="15" customHeight="1">
      <c r="A89" s="91"/>
    </row>
    <row r="90" spans="1:1" ht="15" customHeight="1">
      <c r="A90" s="91"/>
    </row>
    <row r="91" spans="1:1" ht="15" customHeight="1">
      <c r="A91" s="91"/>
    </row>
    <row r="92" spans="1:1" ht="15" customHeight="1">
      <c r="A92" s="91"/>
    </row>
    <row r="93" spans="1:1" ht="15" customHeight="1">
      <c r="A93" s="91"/>
    </row>
    <row r="94" spans="1:1" ht="15" customHeight="1">
      <c r="A94" s="91"/>
    </row>
    <row r="95" spans="1:1" ht="15" customHeight="1">
      <c r="A95" s="91"/>
    </row>
    <row r="96" spans="1:1" ht="15" customHeight="1">
      <c r="A96" s="91"/>
    </row>
    <row r="97" spans="1:1" ht="15" customHeight="1">
      <c r="A97" s="91"/>
    </row>
    <row r="98" spans="1:1" ht="15" customHeight="1">
      <c r="A98" s="91"/>
    </row>
    <row r="99" spans="1:1" ht="15" customHeight="1">
      <c r="A99" s="91"/>
    </row>
    <row r="100" spans="1:1" ht="15" customHeight="1">
      <c r="A100" s="91"/>
    </row>
    <row r="101" spans="1:1" ht="15" customHeight="1">
      <c r="A101" s="91"/>
    </row>
    <row r="102" spans="1:1" ht="15" customHeight="1">
      <c r="A102" s="91"/>
    </row>
    <row r="103" spans="1:1" ht="15" customHeight="1">
      <c r="A103" s="91"/>
    </row>
    <row r="104" spans="1:1" ht="15" customHeight="1">
      <c r="A104" s="91"/>
    </row>
    <row r="105" spans="1:1" ht="15" customHeight="1">
      <c r="A105" s="91"/>
    </row>
    <row r="106" spans="1:1" ht="15" customHeight="1">
      <c r="A106" s="91"/>
    </row>
    <row r="107" spans="1:1" ht="15" customHeight="1">
      <c r="A107" s="91"/>
    </row>
    <row r="108" spans="1:1" ht="15" customHeight="1">
      <c r="A108" s="91"/>
    </row>
    <row r="109" spans="1:1" ht="15" customHeight="1">
      <c r="A109" s="91"/>
    </row>
    <row r="110" spans="1:1" ht="15" customHeight="1">
      <c r="A110" s="91"/>
    </row>
    <row r="111" spans="1:1" ht="15" customHeight="1">
      <c r="A111" s="91"/>
    </row>
    <row r="112" spans="1:1" ht="15" customHeight="1">
      <c r="A112" s="91"/>
    </row>
    <row r="113" spans="1:1" ht="15" customHeight="1">
      <c r="A113" s="91"/>
    </row>
    <row r="114" spans="1:1" ht="15" customHeight="1">
      <c r="A114" s="91"/>
    </row>
    <row r="115" spans="1:1" ht="15" customHeight="1">
      <c r="A115" s="91"/>
    </row>
    <row r="116" spans="1:1" ht="15" customHeight="1">
      <c r="A116" s="91"/>
    </row>
    <row r="117" spans="1:1" ht="15" customHeight="1">
      <c r="A117" s="91"/>
    </row>
    <row r="118" spans="1:1" ht="15" customHeight="1">
      <c r="A118" s="91"/>
    </row>
    <row r="119" spans="1:1" ht="15" customHeight="1">
      <c r="A119" s="91"/>
    </row>
    <row r="120" spans="1:1" ht="15" customHeight="1">
      <c r="A120" s="91"/>
    </row>
    <row r="121" spans="1:1" ht="15" customHeight="1">
      <c r="A121" s="91"/>
    </row>
    <row r="122" spans="1:1" ht="15" customHeight="1">
      <c r="A122" s="91"/>
    </row>
    <row r="123" spans="1:1" ht="15" customHeight="1">
      <c r="A123" s="91"/>
    </row>
    <row r="124" spans="1:1" ht="15" customHeight="1">
      <c r="A124" s="91"/>
    </row>
    <row r="125" spans="1:1" ht="15" customHeight="1">
      <c r="A125" s="91"/>
    </row>
    <row r="126" spans="1:1" ht="15" customHeight="1">
      <c r="A126" s="91"/>
    </row>
    <row r="127" spans="1:1" ht="15" customHeight="1">
      <c r="A127" s="91"/>
    </row>
    <row r="128" spans="1:1" ht="15" customHeight="1">
      <c r="A128" s="91"/>
    </row>
    <row r="129" spans="1:1" ht="15" customHeight="1">
      <c r="A129" s="91"/>
    </row>
    <row r="130" spans="1:1" ht="15" customHeight="1">
      <c r="A130" s="91"/>
    </row>
    <row r="131" spans="1:1" ht="15" customHeight="1">
      <c r="A131" s="91"/>
    </row>
    <row r="132" spans="1:1" ht="15" customHeight="1">
      <c r="A132" s="91"/>
    </row>
    <row r="133" spans="1:1" ht="15" customHeight="1">
      <c r="A133" s="91"/>
    </row>
    <row r="134" spans="1:1" ht="15" customHeight="1">
      <c r="A134" s="91"/>
    </row>
    <row r="135" spans="1:1" ht="15" customHeight="1">
      <c r="A135" s="91"/>
    </row>
    <row r="136" spans="1:1" ht="15" customHeight="1">
      <c r="A136" s="91"/>
    </row>
    <row r="137" spans="1:1" ht="15" customHeight="1">
      <c r="A137" s="91"/>
    </row>
    <row r="138" spans="1:1" ht="15" customHeight="1">
      <c r="A138" s="91"/>
    </row>
    <row r="139" spans="1:1" ht="15" customHeight="1">
      <c r="A139" s="91"/>
    </row>
    <row r="140" spans="1:1" ht="15" customHeight="1">
      <c r="A140" s="91"/>
    </row>
    <row r="141" spans="1:1" ht="15" customHeight="1">
      <c r="A141" s="91"/>
    </row>
    <row r="142" spans="1:1" ht="15" customHeight="1">
      <c r="A142" s="91"/>
    </row>
    <row r="143" spans="1:1" ht="15" customHeight="1">
      <c r="A143" s="91"/>
    </row>
    <row r="144" spans="1:1" ht="15" customHeight="1">
      <c r="A144" s="91"/>
    </row>
    <row r="145" spans="1:1" ht="15" customHeight="1">
      <c r="A145" s="91"/>
    </row>
    <row r="146" spans="1:1" ht="15" customHeight="1">
      <c r="A146" s="91"/>
    </row>
    <row r="147" spans="1:1" ht="15" customHeight="1">
      <c r="A147" s="91"/>
    </row>
    <row r="148" spans="1:1" ht="15" customHeight="1">
      <c r="A148" s="91"/>
    </row>
    <row r="149" spans="1:1" ht="15" customHeight="1">
      <c r="A149" s="91"/>
    </row>
    <row r="150" spans="1:1" ht="15" customHeight="1">
      <c r="A150" s="91"/>
    </row>
    <row r="151" spans="1:1" ht="15" customHeight="1">
      <c r="A151" s="91"/>
    </row>
    <row r="152" spans="1:1" ht="15" customHeight="1">
      <c r="A152" s="91"/>
    </row>
    <row r="153" spans="1:1" ht="15" customHeight="1">
      <c r="A153" s="91"/>
    </row>
    <row r="154" spans="1:1" ht="15" customHeight="1">
      <c r="A154" s="91"/>
    </row>
    <row r="155" spans="1:1" ht="15" customHeight="1">
      <c r="A155" s="91"/>
    </row>
    <row r="156" spans="1:1" ht="15" customHeight="1">
      <c r="A156" s="91"/>
    </row>
    <row r="157" spans="1:1" ht="15" customHeight="1">
      <c r="A157" s="91"/>
    </row>
    <row r="158" spans="1:1" ht="15" customHeight="1">
      <c r="A158" s="91"/>
    </row>
    <row r="159" spans="1:1" ht="15" customHeight="1">
      <c r="A159" s="91"/>
    </row>
    <row r="160" spans="1:1" ht="15" customHeight="1">
      <c r="A160" s="91"/>
    </row>
    <row r="161" spans="1:1" ht="15" customHeight="1">
      <c r="A161" s="91"/>
    </row>
    <row r="162" spans="1:1" ht="15" customHeight="1">
      <c r="A162" s="91"/>
    </row>
    <row r="163" spans="1:1" ht="15" customHeight="1">
      <c r="A163" s="91"/>
    </row>
    <row r="164" spans="1:1" ht="15" customHeight="1">
      <c r="A164" s="91"/>
    </row>
    <row r="165" spans="1:1" ht="15" customHeight="1">
      <c r="A165" s="91"/>
    </row>
    <row r="166" spans="1:1" ht="15" customHeight="1">
      <c r="A166" s="91"/>
    </row>
    <row r="167" spans="1:1" ht="15" customHeight="1">
      <c r="A167" s="91"/>
    </row>
    <row r="168" spans="1:1" ht="15" customHeight="1">
      <c r="A168" s="91"/>
    </row>
    <row r="169" spans="1:1" ht="15" customHeight="1">
      <c r="A169" s="91"/>
    </row>
    <row r="170" spans="1:1" ht="15" customHeight="1">
      <c r="A170" s="91"/>
    </row>
    <row r="171" spans="1:1" ht="15" customHeight="1">
      <c r="A171" s="91"/>
    </row>
    <row r="172" spans="1:1" ht="15" customHeight="1">
      <c r="A172" s="91"/>
    </row>
    <row r="173" spans="1:1" ht="15" customHeight="1">
      <c r="A173" s="91"/>
    </row>
    <row r="174" spans="1:1" ht="15" customHeight="1">
      <c r="A174" s="91"/>
    </row>
    <row r="175" spans="1:1" ht="15" customHeight="1">
      <c r="A175" s="91"/>
    </row>
    <row r="176" spans="1:1" ht="15" customHeight="1">
      <c r="A176" s="91"/>
    </row>
    <row r="177" spans="1:1" ht="15" customHeight="1">
      <c r="A177" s="91"/>
    </row>
    <row r="178" spans="1:1" ht="15" customHeight="1">
      <c r="A178" s="91"/>
    </row>
    <row r="179" spans="1:1" ht="15" customHeight="1">
      <c r="A179" s="91"/>
    </row>
    <row r="180" spans="1:1" ht="15" customHeight="1">
      <c r="A180" s="91"/>
    </row>
    <row r="181" spans="1:1" ht="15" customHeight="1">
      <c r="A181" s="91"/>
    </row>
    <row r="182" spans="1:1" ht="15" customHeight="1">
      <c r="A182" s="91"/>
    </row>
    <row r="183" spans="1:1" ht="15" customHeight="1">
      <c r="A183" s="91"/>
    </row>
    <row r="184" spans="1:1" ht="15" customHeight="1">
      <c r="A184" s="91"/>
    </row>
    <row r="185" spans="1:1" ht="15" customHeight="1">
      <c r="A185" s="91"/>
    </row>
    <row r="186" spans="1:1" ht="15" customHeight="1">
      <c r="A186" s="91"/>
    </row>
    <row r="187" spans="1:1" ht="15" customHeight="1">
      <c r="A187" s="91"/>
    </row>
    <row r="188" spans="1:1" ht="15" customHeight="1">
      <c r="A188" s="91"/>
    </row>
    <row r="189" spans="1:1" ht="15" customHeight="1">
      <c r="A189" s="91"/>
    </row>
    <row r="190" spans="1:1" ht="15" customHeight="1">
      <c r="A190" s="91"/>
    </row>
    <row r="191" spans="1:1" ht="15" customHeight="1">
      <c r="A191" s="91"/>
    </row>
    <row r="192" spans="1:1" ht="15" customHeight="1">
      <c r="A192" s="91"/>
    </row>
    <row r="193" spans="1:1" ht="15" customHeight="1">
      <c r="A193" s="91"/>
    </row>
    <row r="194" spans="1:1" ht="15" customHeight="1">
      <c r="A194" s="91"/>
    </row>
    <row r="195" spans="1:1" ht="15" customHeight="1">
      <c r="A195" s="91"/>
    </row>
    <row r="196" spans="1:1" ht="15" customHeight="1">
      <c r="A196" s="91"/>
    </row>
    <row r="197" spans="1:1" ht="15" customHeight="1">
      <c r="A197" s="91"/>
    </row>
    <row r="198" spans="1:1" ht="15" customHeight="1">
      <c r="A198" s="91"/>
    </row>
    <row r="199" spans="1:1" ht="15" customHeight="1">
      <c r="A199" s="91"/>
    </row>
    <row r="200" spans="1:1" ht="15" customHeight="1">
      <c r="A200" s="91"/>
    </row>
    <row r="201" spans="1:1" ht="15" customHeight="1">
      <c r="A201" s="91"/>
    </row>
    <row r="202" spans="1:1" ht="15" customHeight="1">
      <c r="A202" s="91"/>
    </row>
    <row r="203" spans="1:1" ht="15" customHeight="1">
      <c r="A203" s="91"/>
    </row>
    <row r="204" spans="1:1" ht="15" customHeight="1">
      <c r="A204" s="91"/>
    </row>
    <row r="205" spans="1:1" ht="15" customHeight="1">
      <c r="A205" s="91"/>
    </row>
    <row r="206" spans="1:1" ht="15" customHeight="1">
      <c r="A206" s="91"/>
    </row>
    <row r="207" spans="1:1" ht="15" customHeight="1">
      <c r="A207" s="91"/>
    </row>
    <row r="208" spans="1:1" ht="15" customHeight="1">
      <c r="A208" s="91"/>
    </row>
    <row r="209" spans="1:1" ht="15" customHeight="1">
      <c r="A209" s="91"/>
    </row>
    <row r="210" spans="1:1" ht="15" customHeight="1">
      <c r="A210" s="91"/>
    </row>
    <row r="211" spans="1:1" ht="15" customHeight="1">
      <c r="A211" s="91"/>
    </row>
    <row r="212" spans="1:1" ht="15" customHeight="1">
      <c r="A212" s="91"/>
    </row>
    <row r="213" spans="1:1" ht="15" customHeight="1">
      <c r="A213" s="91"/>
    </row>
    <row r="214" spans="1:1" ht="15" customHeight="1">
      <c r="A214" s="91"/>
    </row>
    <row r="215" spans="1:1" ht="15" customHeight="1">
      <c r="A215" s="91"/>
    </row>
    <row r="216" spans="1:1" ht="15" customHeight="1">
      <c r="A216" s="91"/>
    </row>
    <row r="217" spans="1:1" ht="15" customHeight="1">
      <c r="A217" s="91"/>
    </row>
    <row r="218" spans="1:1" ht="15" customHeight="1">
      <c r="A218" s="91"/>
    </row>
    <row r="219" spans="1:1" ht="15" customHeight="1">
      <c r="A219" s="91"/>
    </row>
    <row r="220" spans="1:1" ht="15" customHeight="1">
      <c r="A220" s="91"/>
    </row>
    <row r="221" spans="1:1" ht="15" customHeight="1">
      <c r="A221" s="91"/>
    </row>
    <row r="222" spans="1:1" ht="15" customHeight="1">
      <c r="A222" s="91"/>
    </row>
    <row r="223" spans="1:1" ht="15" customHeight="1">
      <c r="A223" s="91"/>
    </row>
    <row r="224" spans="1:1" ht="15" customHeight="1">
      <c r="A224" s="91"/>
    </row>
    <row r="225" spans="1:1" ht="15" customHeight="1">
      <c r="A225" s="91"/>
    </row>
    <row r="226" spans="1:1" ht="15" customHeight="1">
      <c r="A226" s="91"/>
    </row>
    <row r="227" spans="1:1" ht="15" customHeight="1">
      <c r="A227" s="91"/>
    </row>
    <row r="228" spans="1:1" ht="15" customHeight="1">
      <c r="A228" s="91"/>
    </row>
    <row r="229" spans="1:1" ht="15" customHeight="1">
      <c r="A229" s="91"/>
    </row>
    <row r="230" spans="1:1" ht="15" customHeight="1">
      <c r="A230" s="91"/>
    </row>
    <row r="231" spans="1:1" ht="15" customHeight="1">
      <c r="A231" s="91"/>
    </row>
    <row r="232" spans="1:1" ht="15" customHeight="1">
      <c r="A232" s="91"/>
    </row>
    <row r="233" spans="1:1" ht="15" customHeight="1">
      <c r="A233" s="91"/>
    </row>
    <row r="234" spans="1:1" ht="15" customHeight="1">
      <c r="A234" s="91"/>
    </row>
    <row r="235" spans="1:1" ht="15" customHeight="1">
      <c r="A235" s="91"/>
    </row>
    <row r="236" spans="1:1" ht="15" customHeight="1">
      <c r="A236" s="91"/>
    </row>
    <row r="237" spans="1:1" ht="15" customHeight="1">
      <c r="A237" s="91"/>
    </row>
    <row r="238" spans="1:1" ht="15" customHeight="1">
      <c r="A238" s="91"/>
    </row>
    <row r="239" spans="1:1" ht="15" customHeight="1">
      <c r="A239" s="91"/>
    </row>
    <row r="240" spans="1:1" ht="15" customHeight="1">
      <c r="A240" s="91"/>
    </row>
    <row r="241" spans="1:1" ht="15" customHeight="1">
      <c r="A241" s="91"/>
    </row>
    <row r="242" spans="1:1" ht="15" customHeight="1">
      <c r="A242" s="91"/>
    </row>
    <row r="243" spans="1:1" ht="15" customHeight="1">
      <c r="A243" s="91"/>
    </row>
    <row r="244" spans="1:1" ht="15" customHeight="1">
      <c r="A244" s="91"/>
    </row>
    <row r="245" spans="1:1" ht="15" customHeight="1">
      <c r="A245" s="91"/>
    </row>
    <row r="246" spans="1:1" ht="15" customHeight="1">
      <c r="A246" s="91"/>
    </row>
    <row r="247" spans="1:1" ht="15" customHeight="1">
      <c r="A247" s="91"/>
    </row>
    <row r="248" spans="1:1" ht="15" customHeight="1">
      <c r="A248" s="91"/>
    </row>
    <row r="249" spans="1:1" ht="15" customHeight="1">
      <c r="A249" s="91"/>
    </row>
    <row r="250" spans="1:1" ht="15" customHeight="1">
      <c r="A250" s="91"/>
    </row>
    <row r="251" spans="1:1" ht="15" customHeight="1">
      <c r="A251" s="91"/>
    </row>
    <row r="252" spans="1:1" ht="15" customHeight="1">
      <c r="A252" s="91"/>
    </row>
    <row r="253" spans="1:1" ht="15" customHeight="1">
      <c r="A253" s="91"/>
    </row>
    <row r="254" spans="1:1" ht="15" customHeight="1">
      <c r="A254" s="91"/>
    </row>
    <row r="255" spans="1:1" ht="15" customHeight="1">
      <c r="A255" s="91"/>
    </row>
    <row r="256" spans="1:1" ht="15" customHeight="1">
      <c r="A256" s="91"/>
    </row>
    <row r="257" spans="1:1" ht="15" customHeight="1">
      <c r="A257" s="91"/>
    </row>
    <row r="258" spans="1:1" ht="15" customHeight="1">
      <c r="A258" s="91"/>
    </row>
    <row r="259" spans="1:1" ht="15" customHeight="1">
      <c r="A259" s="91"/>
    </row>
    <row r="260" spans="1:1" ht="15" customHeight="1">
      <c r="A260" s="91"/>
    </row>
    <row r="261" spans="1:1" ht="15" customHeight="1">
      <c r="A261" s="91"/>
    </row>
    <row r="262" spans="1:1" ht="15" customHeight="1">
      <c r="A262" s="91"/>
    </row>
    <row r="263" spans="1:1" ht="15" customHeight="1">
      <c r="A263" s="91"/>
    </row>
    <row r="264" spans="1:1" ht="15" customHeight="1">
      <c r="A264" s="91"/>
    </row>
    <row r="265" spans="1:1" ht="15" customHeight="1">
      <c r="A265" s="91"/>
    </row>
    <row r="266" spans="1:1" ht="15" customHeight="1">
      <c r="A266" s="91"/>
    </row>
    <row r="267" spans="1:1" ht="15" customHeight="1">
      <c r="A267" s="91"/>
    </row>
    <row r="268" spans="1:1" ht="15" customHeight="1">
      <c r="A268" s="91"/>
    </row>
    <row r="269" spans="1:1" ht="15" customHeight="1">
      <c r="A269" s="91"/>
    </row>
    <row r="270" spans="1:1" ht="15" customHeight="1">
      <c r="A270" s="91"/>
    </row>
    <row r="271" spans="1:1" ht="15" customHeight="1">
      <c r="A271" s="91"/>
    </row>
    <row r="272" spans="1:1" ht="15" customHeight="1">
      <c r="A272" s="91"/>
    </row>
    <row r="273" spans="1:1" ht="15" customHeight="1">
      <c r="A273" s="91"/>
    </row>
    <row r="274" spans="1:1" ht="15" customHeight="1">
      <c r="A274" s="91"/>
    </row>
    <row r="275" spans="1:1" ht="15" customHeight="1">
      <c r="A275" s="91"/>
    </row>
    <row r="276" spans="1:1" ht="15" customHeight="1">
      <c r="A276" s="91"/>
    </row>
    <row r="277" spans="1:1" ht="15" customHeight="1">
      <c r="A277" s="91"/>
    </row>
    <row r="278" spans="1:1" ht="15" customHeight="1">
      <c r="A278" s="91"/>
    </row>
    <row r="279" spans="1:1" ht="15" customHeight="1">
      <c r="A279" s="91"/>
    </row>
    <row r="280" spans="1:1" ht="15" customHeight="1">
      <c r="A280" s="91"/>
    </row>
    <row r="281" spans="1:1" ht="15" customHeight="1">
      <c r="A281" s="91"/>
    </row>
    <row r="282" spans="1:1" ht="15" customHeight="1">
      <c r="A282" s="91"/>
    </row>
    <row r="283" spans="1:1" ht="15" customHeight="1">
      <c r="A283" s="91"/>
    </row>
    <row r="284" spans="1:1" ht="15" customHeight="1">
      <c r="A284" s="91"/>
    </row>
    <row r="285" spans="1:1" ht="15" customHeight="1">
      <c r="A285" s="91"/>
    </row>
    <row r="286" spans="1:1" ht="15" customHeight="1">
      <c r="A286" s="91"/>
    </row>
    <row r="287" spans="1:1" ht="15" customHeight="1">
      <c r="A287" s="91"/>
    </row>
    <row r="288" spans="1:1" ht="15" customHeight="1">
      <c r="A288" s="91"/>
    </row>
    <row r="289" spans="1:1" ht="15" customHeight="1">
      <c r="A289" s="91"/>
    </row>
    <row r="290" spans="1:1" ht="15" customHeight="1">
      <c r="A290" s="91"/>
    </row>
    <row r="291" spans="1:1" ht="15" customHeight="1">
      <c r="A291" s="91"/>
    </row>
    <row r="292" spans="1:1" ht="15" customHeight="1">
      <c r="A292" s="91"/>
    </row>
    <row r="293" spans="1:1" ht="15" customHeight="1">
      <c r="A293" s="91"/>
    </row>
    <row r="294" spans="1:1" ht="15" customHeight="1">
      <c r="A294" s="91"/>
    </row>
    <row r="295" spans="1:1" ht="15" customHeight="1">
      <c r="A295" s="91"/>
    </row>
    <row r="296" spans="1:1" ht="15" customHeight="1">
      <c r="A296" s="91"/>
    </row>
    <row r="297" spans="1:1" ht="15" customHeight="1">
      <c r="A297" s="91"/>
    </row>
    <row r="298" spans="1:1" ht="15" customHeight="1">
      <c r="A298" s="91"/>
    </row>
    <row r="299" spans="1:1" ht="15" customHeight="1">
      <c r="A299" s="91"/>
    </row>
    <row r="300" spans="1:1" ht="15" customHeight="1">
      <c r="A300" s="91"/>
    </row>
    <row r="301" spans="1:1" ht="15" customHeight="1">
      <c r="A301" s="91"/>
    </row>
    <row r="302" spans="1:1" ht="15" customHeight="1">
      <c r="A302" s="91"/>
    </row>
    <row r="303" spans="1:1" ht="15" customHeight="1">
      <c r="A303" s="91"/>
    </row>
    <row r="304" spans="1:1" ht="15" customHeight="1">
      <c r="A304" s="91"/>
    </row>
    <row r="305" spans="1:1" ht="15" customHeight="1">
      <c r="A305" s="91"/>
    </row>
    <row r="306" spans="1:1" ht="15" customHeight="1">
      <c r="A306" s="91"/>
    </row>
    <row r="307" spans="1:1" ht="15" customHeight="1">
      <c r="A307" s="91"/>
    </row>
    <row r="308" spans="1:1" ht="15" customHeight="1">
      <c r="A308" s="91"/>
    </row>
    <row r="309" spans="1:1" ht="15" customHeight="1">
      <c r="A309" s="91"/>
    </row>
    <row r="310" spans="1:1" ht="15" customHeight="1">
      <c r="A310" s="91"/>
    </row>
    <row r="311" spans="1:1" ht="15" customHeight="1">
      <c r="A311" s="91"/>
    </row>
    <row r="312" spans="1:1" ht="15" customHeight="1">
      <c r="A312" s="91"/>
    </row>
    <row r="313" spans="1:1" ht="15" customHeight="1">
      <c r="A313" s="91"/>
    </row>
    <row r="314" spans="1:1" ht="15" customHeight="1">
      <c r="A314" s="91"/>
    </row>
    <row r="315" spans="1:1" ht="15" customHeight="1">
      <c r="A315" s="91"/>
    </row>
    <row r="316" spans="1:1" ht="15" customHeight="1">
      <c r="A316" s="91"/>
    </row>
    <row r="317" spans="1:1" ht="15" customHeight="1">
      <c r="A317" s="91"/>
    </row>
    <row r="318" spans="1:1" ht="15" customHeight="1">
      <c r="A318" s="91"/>
    </row>
    <row r="319" spans="1:1" ht="15" customHeight="1">
      <c r="A319" s="91"/>
    </row>
    <row r="320" spans="1:1" ht="15" customHeight="1">
      <c r="A320" s="91"/>
    </row>
    <row r="321" spans="1:1" ht="15" customHeight="1">
      <c r="A321" s="91"/>
    </row>
    <row r="322" spans="1:1" ht="15" customHeight="1">
      <c r="A322" s="91"/>
    </row>
    <row r="323" spans="1:1" ht="15" customHeight="1">
      <c r="A323" s="91"/>
    </row>
    <row r="324" spans="1:1" ht="15" customHeight="1">
      <c r="A324" s="91"/>
    </row>
    <row r="325" spans="1:1" ht="15" customHeight="1">
      <c r="A325" s="91"/>
    </row>
    <row r="326" spans="1:1" ht="15" customHeight="1">
      <c r="A326" s="91"/>
    </row>
    <row r="327" spans="1:1" ht="15" customHeight="1">
      <c r="A327" s="91"/>
    </row>
    <row r="328" spans="1:1" ht="15" customHeight="1">
      <c r="A328" s="91"/>
    </row>
    <row r="329" spans="1:1" ht="15" customHeight="1">
      <c r="A329" s="91"/>
    </row>
    <row r="330" spans="1:1" ht="15" customHeight="1">
      <c r="A330" s="91"/>
    </row>
    <row r="331" spans="1:1" ht="15" customHeight="1">
      <c r="A331" s="91"/>
    </row>
    <row r="332" spans="1:1" ht="15" customHeight="1">
      <c r="A332" s="91"/>
    </row>
    <row r="333" spans="1:1" ht="15" customHeight="1">
      <c r="A333" s="91"/>
    </row>
    <row r="334" spans="1:1" ht="15" customHeight="1">
      <c r="A334" s="91"/>
    </row>
    <row r="335" spans="1:1" ht="15" customHeight="1">
      <c r="A335" s="91"/>
    </row>
    <row r="336" spans="1:1" ht="15" customHeight="1">
      <c r="A336" s="91"/>
    </row>
    <row r="337" spans="1:1" ht="15" customHeight="1">
      <c r="A337" s="91"/>
    </row>
    <row r="338" spans="1:1" ht="15" customHeight="1">
      <c r="A338" s="91"/>
    </row>
    <row r="339" spans="1:1" ht="15" customHeight="1">
      <c r="A339" s="91"/>
    </row>
    <row r="340" spans="1:1" ht="15" customHeight="1">
      <c r="A340" s="91"/>
    </row>
    <row r="341" spans="1:1" ht="15" customHeight="1">
      <c r="A341" s="91"/>
    </row>
    <row r="342" spans="1:1" ht="15" customHeight="1">
      <c r="A342" s="91"/>
    </row>
    <row r="343" spans="1:1" ht="15" customHeight="1">
      <c r="A343" s="91"/>
    </row>
    <row r="344" spans="1:1" ht="15" customHeight="1">
      <c r="A344" s="91"/>
    </row>
    <row r="345" spans="1:1" ht="15" customHeight="1">
      <c r="A345" s="91"/>
    </row>
    <row r="346" spans="1:1" ht="15" customHeight="1">
      <c r="A346" s="91"/>
    </row>
    <row r="347" spans="1:1" ht="15" customHeight="1">
      <c r="A347" s="91"/>
    </row>
    <row r="348" spans="1:1" ht="15" customHeight="1">
      <c r="A348" s="91"/>
    </row>
    <row r="349" spans="1:1" ht="15" customHeight="1">
      <c r="A349" s="91"/>
    </row>
    <row r="350" spans="1:1" ht="15" customHeight="1">
      <c r="A350" s="91"/>
    </row>
    <row r="351" spans="1:1" ht="15" customHeight="1">
      <c r="A351" s="91"/>
    </row>
    <row r="352" spans="1:1" ht="15" customHeight="1">
      <c r="A352" s="91"/>
    </row>
    <row r="353" spans="1:1" ht="15" customHeight="1">
      <c r="A353" s="91"/>
    </row>
    <row r="354" spans="1:1" ht="15" customHeight="1">
      <c r="A354" s="91"/>
    </row>
    <row r="355" spans="1:1" ht="15" customHeight="1">
      <c r="A355" s="91"/>
    </row>
    <row r="356" spans="1:1" ht="15" customHeight="1">
      <c r="A356" s="91"/>
    </row>
    <row r="357" spans="1:1" ht="15" customHeight="1">
      <c r="A357" s="91"/>
    </row>
    <row r="358" spans="1:1" ht="15" customHeight="1">
      <c r="A358" s="91"/>
    </row>
    <row r="359" spans="1:1" ht="15" customHeight="1">
      <c r="A359" s="91"/>
    </row>
    <row r="360" spans="1:1" ht="15" customHeight="1">
      <c r="A360" s="91"/>
    </row>
    <row r="361" spans="1:1" ht="15" customHeight="1">
      <c r="A361" s="91"/>
    </row>
    <row r="362" spans="1:1" ht="15" customHeight="1">
      <c r="A362" s="91"/>
    </row>
    <row r="363" spans="1:1" ht="15" customHeight="1">
      <c r="A363" s="91"/>
    </row>
    <row r="364" spans="1:1" ht="15" customHeight="1">
      <c r="A364" s="91"/>
    </row>
    <row r="365" spans="1:1" ht="15" customHeight="1">
      <c r="A365" s="91"/>
    </row>
    <row r="366" spans="1:1" ht="15" customHeight="1">
      <c r="A366" s="91"/>
    </row>
    <row r="367" spans="1:1" ht="15" customHeight="1">
      <c r="A367" s="91"/>
    </row>
    <row r="368" spans="1:1" ht="15" customHeight="1">
      <c r="A368" s="91"/>
    </row>
    <row r="369" spans="1:1" ht="15" customHeight="1">
      <c r="A369" s="91"/>
    </row>
    <row r="370" spans="1:1" ht="15" customHeight="1">
      <c r="A370" s="91"/>
    </row>
    <row r="371" spans="1:1" ht="15" customHeight="1">
      <c r="A371" s="91"/>
    </row>
    <row r="372" spans="1:1" ht="15" customHeight="1">
      <c r="A372" s="91"/>
    </row>
    <row r="373" spans="1:1" ht="15" customHeight="1">
      <c r="A373" s="91"/>
    </row>
    <row r="374" spans="1:1" ht="15" customHeight="1">
      <c r="A374" s="91"/>
    </row>
    <row r="375" spans="1:1" ht="15" customHeight="1">
      <c r="A375" s="91"/>
    </row>
    <row r="376" spans="1:1" ht="15" customHeight="1">
      <c r="A376" s="91"/>
    </row>
    <row r="377" spans="1:1" ht="15" customHeight="1">
      <c r="A377" s="91"/>
    </row>
    <row r="378" spans="1:1" ht="15" customHeight="1">
      <c r="A378" s="91"/>
    </row>
    <row r="379" spans="1:1" ht="15" customHeight="1">
      <c r="A379" s="91"/>
    </row>
    <row r="380" spans="1:1" ht="15" customHeight="1">
      <c r="A380" s="91"/>
    </row>
    <row r="381" spans="1:1" ht="15" customHeight="1">
      <c r="A381" s="91"/>
    </row>
    <row r="382" spans="1:1" ht="15" customHeight="1">
      <c r="A382" s="91"/>
    </row>
    <row r="383" spans="1:1" ht="15" customHeight="1">
      <c r="A383" s="91"/>
    </row>
    <row r="384" spans="1:1" ht="15" customHeight="1">
      <c r="A384" s="91"/>
    </row>
    <row r="385" spans="1:1" ht="15" customHeight="1">
      <c r="A385" s="91"/>
    </row>
    <row r="386" spans="1:1" ht="15" customHeight="1">
      <c r="A386" s="91"/>
    </row>
    <row r="387" spans="1:1" ht="15" customHeight="1">
      <c r="A387" s="91"/>
    </row>
    <row r="388" spans="1:1" ht="15" customHeight="1">
      <c r="A388" s="91"/>
    </row>
    <row r="389" spans="1:1" ht="15" customHeight="1">
      <c r="A389" s="91"/>
    </row>
    <row r="390" spans="1:1" ht="15" customHeight="1">
      <c r="A390" s="91"/>
    </row>
    <row r="391" spans="1:1" ht="15" customHeight="1">
      <c r="A391" s="91"/>
    </row>
    <row r="392" spans="1:1" ht="15" customHeight="1">
      <c r="A392" s="91"/>
    </row>
    <row r="393" spans="1:1" ht="15" customHeight="1">
      <c r="A393" s="91"/>
    </row>
    <row r="394" spans="1:1" ht="15" customHeight="1">
      <c r="A394" s="91"/>
    </row>
    <row r="395" spans="1:1" ht="15" customHeight="1">
      <c r="A395" s="91"/>
    </row>
    <row r="396" spans="1:1" ht="15" customHeight="1">
      <c r="A396" s="91"/>
    </row>
    <row r="397" spans="1:1" ht="15" customHeight="1">
      <c r="A397" s="91"/>
    </row>
    <row r="398" spans="1:1" ht="15" customHeight="1">
      <c r="A398" s="91"/>
    </row>
    <row r="399" spans="1:1" ht="15" customHeight="1">
      <c r="A399" s="91"/>
    </row>
    <row r="400" spans="1:1" ht="15" customHeight="1">
      <c r="A400" s="91"/>
    </row>
    <row r="401" spans="1:1" ht="15" customHeight="1">
      <c r="A401" s="91"/>
    </row>
    <row r="402" spans="1:1" ht="15" customHeight="1">
      <c r="A402" s="91"/>
    </row>
    <row r="403" spans="1:1" ht="15" customHeight="1">
      <c r="A403" s="91"/>
    </row>
    <row r="404" spans="1:1" ht="15" customHeight="1">
      <c r="A404" s="91"/>
    </row>
    <row r="405" spans="1:1" ht="15" customHeight="1">
      <c r="A405" s="91"/>
    </row>
    <row r="406" spans="1:1" ht="15" customHeight="1">
      <c r="A406" s="91"/>
    </row>
    <row r="407" spans="1:1" ht="15" customHeight="1">
      <c r="A407" s="91"/>
    </row>
    <row r="408" spans="1:1" ht="15" customHeight="1">
      <c r="A408" s="91"/>
    </row>
    <row r="409" spans="1:1" ht="15" customHeight="1">
      <c r="A409" s="91"/>
    </row>
    <row r="410" spans="1:1" ht="15" customHeight="1">
      <c r="A410" s="91"/>
    </row>
    <row r="411" spans="1:1" ht="15" customHeight="1">
      <c r="A411" s="91"/>
    </row>
    <row r="412" spans="1:1" ht="15" customHeight="1">
      <c r="A412" s="91"/>
    </row>
    <row r="413" spans="1:1" ht="15" customHeight="1">
      <c r="A413" s="91"/>
    </row>
    <row r="414" spans="1:1" ht="15" customHeight="1">
      <c r="A414" s="91"/>
    </row>
    <row r="415" spans="1:1" ht="15" customHeight="1">
      <c r="A415" s="91"/>
    </row>
    <row r="416" spans="1:1" ht="15" customHeight="1">
      <c r="A416" s="91"/>
    </row>
    <row r="417" spans="1:1" ht="15" customHeight="1">
      <c r="A417" s="91"/>
    </row>
    <row r="418" spans="1:1" ht="15" customHeight="1">
      <c r="A418" s="91"/>
    </row>
    <row r="419" spans="1:1" ht="15" customHeight="1">
      <c r="A419" s="91"/>
    </row>
    <row r="420" spans="1:1" ht="15" customHeight="1">
      <c r="A420" s="91"/>
    </row>
    <row r="421" spans="1:1" ht="15" customHeight="1">
      <c r="A421" s="91"/>
    </row>
    <row r="422" spans="1:1" ht="15" customHeight="1">
      <c r="A422" s="91"/>
    </row>
    <row r="423" spans="1:1" ht="15" customHeight="1">
      <c r="A423" s="91"/>
    </row>
    <row r="424" spans="1:1" ht="15" customHeight="1">
      <c r="A424" s="91"/>
    </row>
    <row r="425" spans="1:1" ht="15" customHeight="1">
      <c r="A425" s="91"/>
    </row>
    <row r="426" spans="1:1" ht="15" customHeight="1">
      <c r="A426" s="91"/>
    </row>
    <row r="427" spans="1:1" ht="15" customHeight="1">
      <c r="A427" s="91"/>
    </row>
    <row r="428" spans="1:1" ht="15" customHeight="1">
      <c r="A428" s="91"/>
    </row>
    <row r="429" spans="1:1" ht="15" customHeight="1">
      <c r="A429" s="91"/>
    </row>
    <row r="430" spans="1:1" ht="15" customHeight="1">
      <c r="A430" s="91"/>
    </row>
    <row r="431" spans="1:1" ht="15" customHeight="1">
      <c r="A431" s="91"/>
    </row>
    <row r="432" spans="1:1" ht="15" customHeight="1">
      <c r="A432" s="91"/>
    </row>
    <row r="433" spans="1:1" ht="15" customHeight="1">
      <c r="A433" s="91"/>
    </row>
    <row r="434" spans="1:1" ht="15" customHeight="1">
      <c r="A434" s="91"/>
    </row>
    <row r="435" spans="1:1" ht="15" customHeight="1">
      <c r="A435" s="91"/>
    </row>
    <row r="436" spans="1:1" ht="15" customHeight="1">
      <c r="A436" s="91"/>
    </row>
    <row r="437" spans="1:1" ht="15" customHeight="1">
      <c r="A437" s="91"/>
    </row>
    <row r="438" spans="1:1" ht="15" customHeight="1">
      <c r="A438" s="91"/>
    </row>
    <row r="439" spans="1:1" ht="15" customHeight="1">
      <c r="A439" s="91"/>
    </row>
    <row r="440" spans="1:1" ht="15" customHeight="1">
      <c r="A440" s="91"/>
    </row>
    <row r="441" spans="1:1" ht="15" customHeight="1">
      <c r="A441" s="91"/>
    </row>
    <row r="442" spans="1:1" ht="15" customHeight="1">
      <c r="A442" s="91"/>
    </row>
    <row r="443" spans="1:1" ht="15" customHeight="1">
      <c r="A443" s="91"/>
    </row>
    <row r="444" spans="1:1" ht="15" customHeight="1">
      <c r="A444" s="91"/>
    </row>
    <row r="445" spans="1:1" ht="15" customHeight="1">
      <c r="A445" s="91"/>
    </row>
    <row r="446" spans="1:1" ht="15" customHeight="1">
      <c r="A446" s="91"/>
    </row>
    <row r="447" spans="1:1" ht="15" customHeight="1">
      <c r="A447" s="91"/>
    </row>
    <row r="448" spans="1:1" ht="15" customHeight="1">
      <c r="A448" s="91"/>
    </row>
    <row r="449" spans="1:1" ht="15" customHeight="1">
      <c r="A449" s="91"/>
    </row>
    <row r="450" spans="1:1" ht="15" customHeight="1">
      <c r="A450" s="91"/>
    </row>
    <row r="451" spans="1:1" ht="15" customHeight="1">
      <c r="A451" s="91"/>
    </row>
    <row r="452" spans="1:1" ht="15" customHeight="1">
      <c r="A452" s="91"/>
    </row>
    <row r="453" spans="1:1" ht="15" customHeight="1">
      <c r="A453" s="91"/>
    </row>
    <row r="454" spans="1:1" ht="15" customHeight="1">
      <c r="A454" s="91"/>
    </row>
    <row r="455" spans="1:1" ht="15" customHeight="1">
      <c r="A455" s="91"/>
    </row>
    <row r="456" spans="1:1" ht="15" customHeight="1">
      <c r="A456" s="91"/>
    </row>
    <row r="457" spans="1:1" ht="15" customHeight="1">
      <c r="A457" s="91"/>
    </row>
    <row r="458" spans="1:1" ht="15" customHeight="1">
      <c r="A458" s="91"/>
    </row>
    <row r="459" spans="1:1" ht="15" customHeight="1">
      <c r="A459" s="91"/>
    </row>
    <row r="460" spans="1:1" ht="15" customHeight="1">
      <c r="A460" s="91"/>
    </row>
    <row r="461" spans="1:1" ht="15" customHeight="1">
      <c r="A461" s="91"/>
    </row>
    <row r="462" spans="1:1" ht="15" customHeight="1">
      <c r="A462" s="91"/>
    </row>
    <row r="463" spans="1:1" ht="15" customHeight="1">
      <c r="A463" s="91"/>
    </row>
    <row r="464" spans="1:1" ht="15" customHeight="1">
      <c r="A464" s="91"/>
    </row>
    <row r="465" spans="1:1" ht="15" customHeight="1">
      <c r="A465" s="91"/>
    </row>
    <row r="466" spans="1:1" ht="15" customHeight="1">
      <c r="A466" s="91"/>
    </row>
    <row r="467" spans="1:1" ht="15" customHeight="1">
      <c r="A467" s="91"/>
    </row>
    <row r="468" spans="1:1" ht="15" customHeight="1">
      <c r="A468" s="91"/>
    </row>
    <row r="469" spans="1:1" ht="15" customHeight="1">
      <c r="A469" s="91"/>
    </row>
    <row r="470" spans="1:1" ht="15" customHeight="1">
      <c r="A470" s="91"/>
    </row>
    <row r="471" spans="1:1" ht="15" customHeight="1">
      <c r="A471" s="91"/>
    </row>
    <row r="472" spans="1:1" ht="15" customHeight="1">
      <c r="A472" s="91"/>
    </row>
    <row r="473" spans="1:1" ht="15" customHeight="1">
      <c r="A473" s="91"/>
    </row>
    <row r="474" spans="1:1" ht="15" customHeight="1">
      <c r="A474" s="91"/>
    </row>
    <row r="475" spans="1:1" ht="15" customHeight="1">
      <c r="A475" s="91"/>
    </row>
    <row r="476" spans="1:1" ht="15" customHeight="1">
      <c r="A476" s="91"/>
    </row>
    <row r="477" spans="1:1" ht="15" customHeight="1">
      <c r="A477" s="91"/>
    </row>
    <row r="478" spans="1:1" ht="15" customHeight="1">
      <c r="A478" s="91"/>
    </row>
    <row r="479" spans="1:1" ht="15" customHeight="1">
      <c r="A479" s="91"/>
    </row>
    <row r="480" spans="1:1" ht="15" customHeight="1">
      <c r="A480" s="91"/>
    </row>
    <row r="481" spans="1:1" ht="15" customHeight="1">
      <c r="A481" s="91"/>
    </row>
    <row r="482" spans="1:1" ht="15" customHeight="1">
      <c r="A482" s="91"/>
    </row>
    <row r="483" spans="1:1" ht="15" customHeight="1">
      <c r="A483" s="91"/>
    </row>
    <row r="484" spans="1:1" ht="15" customHeight="1">
      <c r="A484" s="91"/>
    </row>
    <row r="485" spans="1:1" ht="15" customHeight="1">
      <c r="A485" s="91"/>
    </row>
    <row r="486" spans="1:1" ht="15" customHeight="1">
      <c r="A486" s="91"/>
    </row>
    <row r="487" spans="1:1" ht="15" customHeight="1">
      <c r="A487" s="91"/>
    </row>
    <row r="488" spans="1:1" ht="15" customHeight="1">
      <c r="A488" s="91"/>
    </row>
    <row r="489" spans="1:1" ht="15" customHeight="1">
      <c r="A489" s="91"/>
    </row>
    <row r="490" spans="1:1" ht="15" customHeight="1">
      <c r="A490" s="91"/>
    </row>
    <row r="491" spans="1:1" ht="15" customHeight="1">
      <c r="A491" s="91"/>
    </row>
    <row r="492" spans="1:1" ht="15" customHeight="1">
      <c r="A492" s="91"/>
    </row>
    <row r="493" spans="1:1" ht="15" customHeight="1">
      <c r="A493" s="91"/>
    </row>
    <row r="494" spans="1:1" ht="15" customHeight="1">
      <c r="A494" s="91"/>
    </row>
    <row r="495" spans="1:1" ht="15" customHeight="1">
      <c r="A495" s="91"/>
    </row>
    <row r="496" spans="1:1" ht="15" customHeight="1">
      <c r="A496" s="91"/>
    </row>
    <row r="497" spans="1:1" ht="15" customHeight="1">
      <c r="A497" s="91"/>
    </row>
    <row r="498" spans="1:1" ht="15" customHeight="1">
      <c r="A498" s="91"/>
    </row>
    <row r="499" spans="1:1" ht="15" customHeight="1">
      <c r="A499" s="91"/>
    </row>
    <row r="500" spans="1:1" ht="15" customHeight="1">
      <c r="A500" s="91"/>
    </row>
    <row r="501" spans="1:1" ht="15" customHeight="1">
      <c r="A501" s="91"/>
    </row>
    <row r="502" spans="1:1" ht="15" customHeight="1">
      <c r="A502" s="91"/>
    </row>
    <row r="503" spans="1:1" ht="15" customHeight="1">
      <c r="A503" s="91"/>
    </row>
    <row r="504" spans="1:1" ht="15" customHeight="1">
      <c r="A504" s="91"/>
    </row>
    <row r="505" spans="1:1" ht="15" customHeight="1">
      <c r="A505" s="91"/>
    </row>
    <row r="506" spans="1:1" ht="15" customHeight="1">
      <c r="A506" s="91"/>
    </row>
    <row r="507" spans="1:1" ht="15" customHeight="1">
      <c r="A507" s="91"/>
    </row>
    <row r="508" spans="1:1" ht="15" customHeight="1">
      <c r="A508" s="91"/>
    </row>
    <row r="509" spans="1:1" ht="15" customHeight="1">
      <c r="A509" s="91"/>
    </row>
    <row r="510" spans="1:1" ht="15" customHeight="1">
      <c r="A510" s="91"/>
    </row>
    <row r="511" spans="1:1" ht="15" customHeight="1">
      <c r="A511" s="91"/>
    </row>
    <row r="512" spans="1:1" ht="15" customHeight="1">
      <c r="A512" s="91"/>
    </row>
    <row r="513" spans="1:1" ht="15" customHeight="1">
      <c r="A513" s="91"/>
    </row>
    <row r="514" spans="1:1" ht="15" customHeight="1">
      <c r="A514" s="91"/>
    </row>
    <row r="515" spans="1:1" ht="15" customHeight="1">
      <c r="A515" s="91"/>
    </row>
    <row r="516" spans="1:1" ht="15" customHeight="1">
      <c r="A516" s="91"/>
    </row>
    <row r="517" spans="1:1" ht="15" customHeight="1">
      <c r="A517" s="91"/>
    </row>
    <row r="518" spans="1:1" ht="15" customHeight="1">
      <c r="A518" s="91"/>
    </row>
    <row r="519" spans="1:1" ht="15" customHeight="1">
      <c r="A519" s="91"/>
    </row>
    <row r="520" spans="1:1" ht="15" customHeight="1">
      <c r="A520" s="91"/>
    </row>
    <row r="521" spans="1:1" ht="15" customHeight="1">
      <c r="A521" s="91"/>
    </row>
    <row r="522" spans="1:1" ht="15" customHeight="1">
      <c r="A522" s="91"/>
    </row>
    <row r="523" spans="1:1" ht="15" customHeight="1">
      <c r="A523" s="91"/>
    </row>
    <row r="524" spans="1:1" ht="15" customHeight="1">
      <c r="A524" s="91"/>
    </row>
    <row r="525" spans="1:1" ht="15" customHeight="1">
      <c r="A525" s="91"/>
    </row>
    <row r="526" spans="1:1" ht="15" customHeight="1">
      <c r="A526" s="91"/>
    </row>
    <row r="527" spans="1:1" ht="15" customHeight="1">
      <c r="A527" s="91"/>
    </row>
    <row r="528" spans="1:1" ht="15" customHeight="1">
      <c r="A528" s="91"/>
    </row>
    <row r="529" spans="1:1" ht="15" customHeight="1">
      <c r="A529" s="91"/>
    </row>
    <row r="530" spans="1:1" ht="15" customHeight="1">
      <c r="A530" s="91"/>
    </row>
    <row r="531" spans="1:1" ht="15" customHeight="1">
      <c r="A531" s="91"/>
    </row>
    <row r="532" spans="1:1" ht="15" customHeight="1">
      <c r="A532" s="91"/>
    </row>
    <row r="533" spans="1:1" ht="15" customHeight="1">
      <c r="A533" s="91"/>
    </row>
    <row r="534" spans="1:1" ht="15" customHeight="1">
      <c r="A534" s="91"/>
    </row>
    <row r="535" spans="1:1" ht="15" customHeight="1">
      <c r="A535" s="91"/>
    </row>
    <row r="536" spans="1:1" ht="15" customHeight="1">
      <c r="A536" s="91"/>
    </row>
    <row r="537" spans="1:1" ht="15" customHeight="1">
      <c r="A537" s="91"/>
    </row>
    <row r="538" spans="1:1" ht="15" customHeight="1">
      <c r="A538" s="91"/>
    </row>
    <row r="539" spans="1:1" ht="15" customHeight="1">
      <c r="A539" s="91"/>
    </row>
    <row r="540" spans="1:1" ht="15" customHeight="1">
      <c r="A540" s="91"/>
    </row>
    <row r="541" spans="1:1" ht="15" customHeight="1">
      <c r="A541" s="91"/>
    </row>
    <row r="542" spans="1:1" ht="15" customHeight="1">
      <c r="A542" s="91"/>
    </row>
    <row r="543" spans="1:1" ht="15" customHeight="1">
      <c r="A543" s="91"/>
    </row>
    <row r="544" spans="1:1" ht="15" customHeight="1">
      <c r="A544" s="91"/>
    </row>
    <row r="545" spans="1:1" ht="15" customHeight="1">
      <c r="A545" s="91"/>
    </row>
    <row r="546" spans="1:1" ht="15" customHeight="1">
      <c r="A546" s="91"/>
    </row>
    <row r="547" spans="1:1" ht="15" customHeight="1">
      <c r="A547" s="91"/>
    </row>
    <row r="548" spans="1:1" ht="15" customHeight="1">
      <c r="A548" s="91"/>
    </row>
    <row r="549" spans="1:1" ht="15" customHeight="1">
      <c r="A549" s="91"/>
    </row>
    <row r="550" spans="1:1" ht="15" customHeight="1">
      <c r="A550" s="91"/>
    </row>
    <row r="551" spans="1:1" ht="15" customHeight="1">
      <c r="A551" s="91"/>
    </row>
    <row r="552" spans="1:1" ht="15" customHeight="1">
      <c r="A552" s="91"/>
    </row>
    <row r="553" spans="1:1" ht="15" customHeight="1">
      <c r="A553" s="91"/>
    </row>
    <row r="554" spans="1:1" ht="15" customHeight="1">
      <c r="A554" s="91"/>
    </row>
    <row r="555" spans="1:1" ht="15" customHeight="1">
      <c r="A555" s="91"/>
    </row>
    <row r="556" spans="1:1" ht="15" customHeight="1">
      <c r="A556" s="91"/>
    </row>
    <row r="557" spans="1:1" ht="15" customHeight="1">
      <c r="A557" s="91"/>
    </row>
    <row r="558" spans="1:1" ht="15" customHeight="1">
      <c r="A558" s="91"/>
    </row>
    <row r="559" spans="1:1" ht="15" customHeight="1">
      <c r="A559" s="91"/>
    </row>
    <row r="560" spans="1:1" ht="15" customHeight="1">
      <c r="A560" s="91"/>
    </row>
    <row r="561" spans="1:1" ht="15" customHeight="1">
      <c r="A561" s="91"/>
    </row>
    <row r="562" spans="1:1" ht="15" customHeight="1">
      <c r="A562" s="91"/>
    </row>
    <row r="563" spans="1:1" ht="15" customHeight="1">
      <c r="A563" s="91"/>
    </row>
    <row r="564" spans="1:1" ht="15" customHeight="1">
      <c r="A564" s="91"/>
    </row>
    <row r="565" spans="1:1" ht="15" customHeight="1">
      <c r="A565" s="91"/>
    </row>
    <row r="566" spans="1:1" ht="15" customHeight="1">
      <c r="A566" s="91"/>
    </row>
    <row r="567" spans="1:1" ht="15" customHeight="1">
      <c r="A567" s="91"/>
    </row>
    <row r="568" spans="1:1" ht="15" customHeight="1">
      <c r="A568" s="91"/>
    </row>
    <row r="569" spans="1:1" ht="15" customHeight="1">
      <c r="A569" s="91"/>
    </row>
    <row r="570" spans="1:1" ht="15" customHeight="1">
      <c r="A570" s="91"/>
    </row>
    <row r="571" spans="1:1" ht="15" customHeight="1">
      <c r="A571" s="91"/>
    </row>
    <row r="572" spans="1:1" ht="15" customHeight="1">
      <c r="A572" s="91"/>
    </row>
    <row r="573" spans="1:1" ht="15" customHeight="1">
      <c r="A573" s="91"/>
    </row>
    <row r="574" spans="1:1" ht="15" customHeight="1">
      <c r="A574" s="91"/>
    </row>
    <row r="575" spans="1:1" ht="15" customHeight="1">
      <c r="A575" s="91"/>
    </row>
    <row r="576" spans="1:1" ht="15" customHeight="1">
      <c r="A576" s="91"/>
    </row>
    <row r="577" spans="1:1" ht="15" customHeight="1">
      <c r="A577" s="91"/>
    </row>
    <row r="578" spans="1:1" ht="15" customHeight="1">
      <c r="A578" s="91"/>
    </row>
    <row r="579" spans="1:1" ht="15" customHeight="1">
      <c r="A579" s="91"/>
    </row>
    <row r="580" spans="1:1" ht="15" customHeight="1">
      <c r="A580" s="91"/>
    </row>
    <row r="581" spans="1:1" ht="15" customHeight="1">
      <c r="A581" s="91"/>
    </row>
    <row r="582" spans="1:1" ht="15" customHeight="1">
      <c r="A582" s="91"/>
    </row>
    <row r="583" spans="1:1" ht="15" customHeight="1">
      <c r="A583" s="91"/>
    </row>
    <row r="584" spans="1:1" ht="15" customHeight="1">
      <c r="A584" s="91"/>
    </row>
    <row r="585" spans="1:1" ht="15" customHeight="1">
      <c r="A585" s="91"/>
    </row>
    <row r="586" spans="1:1" ht="15" customHeight="1">
      <c r="A586" s="91"/>
    </row>
    <row r="587" spans="1:1" ht="15" customHeight="1">
      <c r="A587" s="91"/>
    </row>
    <row r="588" spans="1:1" ht="15" customHeight="1">
      <c r="A588" s="91"/>
    </row>
    <row r="589" spans="1:1" ht="15" customHeight="1">
      <c r="A589" s="91"/>
    </row>
    <row r="590" spans="1:1" ht="15" customHeight="1">
      <c r="A590" s="91"/>
    </row>
    <row r="591" spans="1:1" ht="15" customHeight="1">
      <c r="A591" s="91"/>
    </row>
    <row r="592" spans="1:1" ht="15" customHeight="1">
      <c r="A592" s="91"/>
    </row>
    <row r="593" spans="1:1" ht="15" customHeight="1">
      <c r="A593" s="91"/>
    </row>
    <row r="594" spans="1:1" ht="15" customHeight="1">
      <c r="A594" s="91"/>
    </row>
    <row r="595" spans="1:1" ht="15" customHeight="1">
      <c r="A595" s="91"/>
    </row>
    <row r="596" spans="1:1" ht="15" customHeight="1">
      <c r="A596" s="91"/>
    </row>
    <row r="597" spans="1:1" ht="15" customHeight="1">
      <c r="A597" s="91"/>
    </row>
    <row r="598" spans="1:1" ht="15" customHeight="1">
      <c r="A598" s="91"/>
    </row>
    <row r="599" spans="1:1" ht="15" customHeight="1">
      <c r="A599" s="91"/>
    </row>
    <row r="600" spans="1:1" ht="15" customHeight="1">
      <c r="A600" s="91"/>
    </row>
    <row r="601" spans="1:1" ht="15" customHeight="1">
      <c r="A601" s="91"/>
    </row>
    <row r="602" spans="1:1" ht="15" customHeight="1">
      <c r="A602" s="91"/>
    </row>
    <row r="603" spans="1:1" ht="15" customHeight="1">
      <c r="A603" s="91"/>
    </row>
    <row r="604" spans="1:1" ht="15" customHeight="1">
      <c r="A604" s="91"/>
    </row>
    <row r="605" spans="1:1" ht="15" customHeight="1">
      <c r="A605" s="91"/>
    </row>
    <row r="606" spans="1:1" ht="15" customHeight="1">
      <c r="A606" s="91"/>
    </row>
    <row r="607" spans="1:1" ht="15" customHeight="1">
      <c r="A607" s="91"/>
    </row>
    <row r="608" spans="1:1" ht="15" customHeight="1">
      <c r="A608" s="91"/>
    </row>
    <row r="609" spans="1:1" ht="15" customHeight="1">
      <c r="A609" s="91"/>
    </row>
    <row r="610" spans="1:1" ht="15" customHeight="1">
      <c r="A610" s="91"/>
    </row>
    <row r="611" spans="1:1" ht="15" customHeight="1">
      <c r="A611" s="91"/>
    </row>
    <row r="612" spans="1:1" ht="15" customHeight="1">
      <c r="A612" s="91"/>
    </row>
    <row r="613" spans="1:1" ht="15" customHeight="1">
      <c r="A613" s="91"/>
    </row>
    <row r="614" spans="1:1" ht="15" customHeight="1">
      <c r="A614" s="91"/>
    </row>
    <row r="615" spans="1:1" ht="15" customHeight="1">
      <c r="A615" s="91"/>
    </row>
    <row r="616" spans="1:1" ht="15" customHeight="1">
      <c r="A616" s="91"/>
    </row>
    <row r="617" spans="1:1" ht="15" customHeight="1">
      <c r="A617" s="91"/>
    </row>
    <row r="618" spans="1:1" ht="15" customHeight="1">
      <c r="A618" s="91"/>
    </row>
    <row r="619" spans="1:1" ht="15" customHeight="1">
      <c r="A619" s="91"/>
    </row>
    <row r="620" spans="1:1" ht="15" customHeight="1">
      <c r="A620" s="91"/>
    </row>
    <row r="621" spans="1:1" ht="15" customHeight="1">
      <c r="A621" s="91"/>
    </row>
    <row r="622" spans="1:1" ht="15" customHeight="1">
      <c r="A622" s="91"/>
    </row>
    <row r="623" spans="1:1" ht="15" customHeight="1">
      <c r="A623" s="91"/>
    </row>
    <row r="624" spans="1:1" ht="15" customHeight="1">
      <c r="A624" s="91"/>
    </row>
    <row r="625" spans="1:1" ht="15" customHeight="1">
      <c r="A625" s="91"/>
    </row>
    <row r="626" spans="1:1" ht="15" customHeight="1">
      <c r="A626" s="91"/>
    </row>
    <row r="627" spans="1:1" ht="15" customHeight="1">
      <c r="A627" s="91"/>
    </row>
    <row r="628" spans="1:1" ht="15" customHeight="1">
      <c r="A628" s="91"/>
    </row>
    <row r="629" spans="1:1" ht="15" customHeight="1">
      <c r="A629" s="91"/>
    </row>
    <row r="630" spans="1:1" ht="15" customHeight="1">
      <c r="A630" s="91"/>
    </row>
    <row r="631" spans="1:1" ht="15" customHeight="1">
      <c r="A631" s="91"/>
    </row>
    <row r="632" spans="1:1" ht="15" customHeight="1">
      <c r="A632" s="91"/>
    </row>
    <row r="633" spans="1:1" ht="15" customHeight="1">
      <c r="A633" s="91"/>
    </row>
    <row r="634" spans="1:1" ht="15" customHeight="1">
      <c r="A634" s="91"/>
    </row>
    <row r="635" spans="1:1" ht="15" customHeight="1">
      <c r="A635" s="91"/>
    </row>
    <row r="636" spans="1:1" ht="15" customHeight="1">
      <c r="A636" s="91"/>
    </row>
    <row r="637" spans="1:1" ht="15" customHeight="1">
      <c r="A637" s="91"/>
    </row>
    <row r="638" spans="1:1" ht="15" customHeight="1">
      <c r="A638" s="91"/>
    </row>
    <row r="639" spans="1:1" ht="15" customHeight="1">
      <c r="A639" s="91"/>
    </row>
    <row r="640" spans="1:1" ht="15" customHeight="1">
      <c r="A640" s="91"/>
    </row>
    <row r="641" spans="1:1" ht="15" customHeight="1">
      <c r="A641" s="91"/>
    </row>
    <row r="642" spans="1:1" ht="15" customHeight="1">
      <c r="A642" s="91"/>
    </row>
    <row r="643" spans="1:1" ht="15" customHeight="1">
      <c r="A643" s="91"/>
    </row>
    <row r="644" spans="1:1" ht="15" customHeight="1">
      <c r="A644" s="91"/>
    </row>
    <row r="645" spans="1:1" ht="15" customHeight="1">
      <c r="A645" s="91"/>
    </row>
    <row r="646" spans="1:1" ht="15" customHeight="1">
      <c r="A646" s="91"/>
    </row>
    <row r="647" spans="1:1" ht="15" customHeight="1">
      <c r="A647" s="91"/>
    </row>
    <row r="648" spans="1:1" ht="15" customHeight="1">
      <c r="A648" s="91"/>
    </row>
    <row r="649" spans="1:1" ht="15" customHeight="1">
      <c r="A649" s="91"/>
    </row>
    <row r="650" spans="1:1" ht="15" customHeight="1">
      <c r="A650" s="91"/>
    </row>
    <row r="651" spans="1:1" ht="15" customHeight="1">
      <c r="A651" s="91"/>
    </row>
    <row r="652" spans="1:1" ht="15" customHeight="1">
      <c r="A652" s="91"/>
    </row>
    <row r="653" spans="1:1" ht="15" customHeight="1">
      <c r="A653" s="91"/>
    </row>
    <row r="654" spans="1:1" ht="15" customHeight="1">
      <c r="A654" s="91"/>
    </row>
    <row r="655" spans="1:1" ht="15" customHeight="1">
      <c r="A655" s="91"/>
    </row>
    <row r="656" spans="1:1" ht="15" customHeight="1">
      <c r="A656" s="91"/>
    </row>
    <row r="657" spans="1:1" ht="15" customHeight="1">
      <c r="A657" s="91"/>
    </row>
    <row r="658" spans="1:1" ht="15" customHeight="1">
      <c r="A658" s="91"/>
    </row>
    <row r="659" spans="1:1" ht="15" customHeight="1">
      <c r="A659" s="91"/>
    </row>
    <row r="660" spans="1:1" ht="15" customHeight="1">
      <c r="A660" s="91"/>
    </row>
    <row r="661" spans="1:1" ht="15" customHeight="1">
      <c r="A661" s="91"/>
    </row>
    <row r="662" spans="1:1" ht="15" customHeight="1">
      <c r="A662" s="91"/>
    </row>
    <row r="663" spans="1:1" ht="15" customHeight="1">
      <c r="A663" s="91"/>
    </row>
    <row r="664" spans="1:1" ht="15" customHeight="1">
      <c r="A664" s="91"/>
    </row>
    <row r="665" spans="1:1" ht="15" customHeight="1">
      <c r="A665" s="91"/>
    </row>
    <row r="666" spans="1:1" ht="15" customHeight="1">
      <c r="A666" s="91"/>
    </row>
    <row r="667" spans="1:1" ht="15" customHeight="1">
      <c r="A667" s="91"/>
    </row>
    <row r="668" spans="1:1" ht="15" customHeight="1">
      <c r="A668" s="91"/>
    </row>
    <row r="669" spans="1:1" ht="15" customHeight="1">
      <c r="A669" s="91"/>
    </row>
    <row r="670" spans="1:1" ht="15" customHeight="1">
      <c r="A670" s="91"/>
    </row>
    <row r="671" spans="1:1" ht="15" customHeight="1">
      <c r="A671" s="91"/>
    </row>
    <row r="672" spans="1:1" ht="15" customHeight="1">
      <c r="A672" s="91"/>
    </row>
    <row r="673" spans="1:1" ht="15" customHeight="1">
      <c r="A673" s="91"/>
    </row>
    <row r="674" spans="1:1" ht="15" customHeight="1">
      <c r="A674" s="91"/>
    </row>
    <row r="675" spans="1:1" ht="15" customHeight="1">
      <c r="A675" s="91"/>
    </row>
    <row r="676" spans="1:1" ht="15" customHeight="1">
      <c r="A676" s="91"/>
    </row>
    <row r="677" spans="1:1" ht="15" customHeight="1">
      <c r="A677" s="91"/>
    </row>
    <row r="678" spans="1:1" ht="15" customHeight="1">
      <c r="A678" s="91"/>
    </row>
    <row r="679" spans="1:1" ht="15" customHeight="1">
      <c r="A679" s="91"/>
    </row>
    <row r="680" spans="1:1" ht="15" customHeight="1">
      <c r="A680" s="91"/>
    </row>
    <row r="681" spans="1:1" ht="15" customHeight="1">
      <c r="A681" s="91"/>
    </row>
    <row r="682" spans="1:1" ht="15" customHeight="1">
      <c r="A682" s="91"/>
    </row>
    <row r="683" spans="1:1" ht="15" customHeight="1">
      <c r="A683" s="91"/>
    </row>
    <row r="684" spans="1:1" ht="15" customHeight="1">
      <c r="A684" s="91"/>
    </row>
    <row r="685" spans="1:1" ht="15" customHeight="1">
      <c r="A685" s="91"/>
    </row>
    <row r="686" spans="1:1" ht="15" customHeight="1">
      <c r="A686" s="91"/>
    </row>
    <row r="687" spans="1:1" ht="15" customHeight="1">
      <c r="A687" s="91"/>
    </row>
    <row r="688" spans="1:1" ht="15" customHeight="1">
      <c r="A688" s="91"/>
    </row>
    <row r="689" spans="1:1" ht="15" customHeight="1">
      <c r="A689" s="91"/>
    </row>
    <row r="690" spans="1:1" ht="15" customHeight="1">
      <c r="A690" s="91"/>
    </row>
    <row r="691" spans="1:1" ht="15" customHeight="1">
      <c r="A691" s="91"/>
    </row>
    <row r="692" spans="1:1" ht="15" customHeight="1">
      <c r="A692" s="91"/>
    </row>
    <row r="693" spans="1:1" ht="15" customHeight="1">
      <c r="A693" s="91"/>
    </row>
    <row r="694" spans="1:1" ht="15" customHeight="1">
      <c r="A694" s="91"/>
    </row>
    <row r="695" spans="1:1" ht="15" customHeight="1">
      <c r="A695" s="91"/>
    </row>
    <row r="696" spans="1:1" ht="15" customHeight="1">
      <c r="A696" s="91"/>
    </row>
    <row r="697" spans="1:1" ht="15" customHeight="1">
      <c r="A697" s="91"/>
    </row>
    <row r="698" spans="1:1" ht="15" customHeight="1">
      <c r="A698" s="91"/>
    </row>
    <row r="699" spans="1:1" ht="15" customHeight="1">
      <c r="A699" s="91"/>
    </row>
    <row r="700" spans="1:1" ht="15" customHeight="1">
      <c r="A700" s="91"/>
    </row>
    <row r="701" spans="1:1" ht="15" customHeight="1">
      <c r="A701" s="91"/>
    </row>
    <row r="702" spans="1:1" ht="15" customHeight="1">
      <c r="A702" s="91"/>
    </row>
    <row r="703" spans="1:1" ht="15" customHeight="1">
      <c r="A703" s="91"/>
    </row>
    <row r="704" spans="1:1" ht="15" customHeight="1">
      <c r="A704" s="91"/>
    </row>
    <row r="705" spans="1:1" ht="15" customHeight="1">
      <c r="A705" s="91"/>
    </row>
    <row r="706" spans="1:1" ht="15" customHeight="1">
      <c r="A706" s="91"/>
    </row>
    <row r="707" spans="1:1" ht="15" customHeight="1">
      <c r="A707" s="91"/>
    </row>
    <row r="708" spans="1:1" ht="15" customHeight="1">
      <c r="A708" s="91"/>
    </row>
    <row r="709" spans="1:1" ht="15" customHeight="1">
      <c r="A709" s="91"/>
    </row>
    <row r="710" spans="1:1" ht="15" customHeight="1">
      <c r="A710" s="91"/>
    </row>
    <row r="711" spans="1:1" ht="15" customHeight="1">
      <c r="A711" s="91"/>
    </row>
    <row r="712" spans="1:1" ht="15" customHeight="1">
      <c r="A712" s="91"/>
    </row>
    <row r="713" spans="1:1" ht="15" customHeight="1">
      <c r="A713" s="91"/>
    </row>
    <row r="714" spans="1:1" ht="15" customHeight="1">
      <c r="A714" s="91"/>
    </row>
    <row r="715" spans="1:1" ht="15" customHeight="1">
      <c r="A715" s="91"/>
    </row>
    <row r="716" spans="1:1" ht="15" customHeight="1">
      <c r="A716" s="91"/>
    </row>
    <row r="717" spans="1:1" ht="15" customHeight="1">
      <c r="A717" s="91"/>
    </row>
    <row r="718" spans="1:1" ht="15" customHeight="1">
      <c r="A718" s="91"/>
    </row>
    <row r="719" spans="1:1" ht="15" customHeight="1">
      <c r="A719" s="91"/>
    </row>
    <row r="720" spans="1:1" ht="15" customHeight="1">
      <c r="A720" s="91"/>
    </row>
    <row r="721" spans="1:1" ht="15" customHeight="1">
      <c r="A721" s="91"/>
    </row>
    <row r="722" spans="1:1" ht="15" customHeight="1">
      <c r="A722" s="91"/>
    </row>
    <row r="723" spans="1:1" ht="15" customHeight="1">
      <c r="A723" s="91"/>
    </row>
    <row r="724" spans="1:1" ht="15" customHeight="1">
      <c r="A724" s="91"/>
    </row>
    <row r="725" spans="1:1" ht="15" customHeight="1">
      <c r="A725" s="91"/>
    </row>
    <row r="726" spans="1:1" ht="15" customHeight="1">
      <c r="A726" s="91"/>
    </row>
    <row r="727" spans="1:1" ht="15" customHeight="1">
      <c r="A727" s="91"/>
    </row>
    <row r="728" spans="1:1" ht="15" customHeight="1">
      <c r="A728" s="91"/>
    </row>
    <row r="729" spans="1:1" ht="15" customHeight="1">
      <c r="A729" s="91"/>
    </row>
    <row r="730" spans="1:1" ht="15" customHeight="1">
      <c r="A730" s="91"/>
    </row>
    <row r="731" spans="1:1" ht="15" customHeight="1">
      <c r="A731" s="91"/>
    </row>
    <row r="732" spans="1:1" ht="15" customHeight="1">
      <c r="A732" s="91"/>
    </row>
    <row r="733" spans="1:1" ht="15" customHeight="1">
      <c r="A733" s="91"/>
    </row>
    <row r="734" spans="1:1" ht="15" customHeight="1">
      <c r="A734" s="91"/>
    </row>
    <row r="735" spans="1:1" ht="15" customHeight="1">
      <c r="A735" s="91"/>
    </row>
    <row r="736" spans="1:1" ht="15" customHeight="1">
      <c r="A736" s="91"/>
    </row>
    <row r="737" spans="1:1" ht="15" customHeight="1">
      <c r="A737" s="91"/>
    </row>
    <row r="738" spans="1:1" ht="15" customHeight="1">
      <c r="A738" s="91"/>
    </row>
    <row r="739" spans="1:1" ht="15" customHeight="1">
      <c r="A739" s="91"/>
    </row>
    <row r="740" spans="1:1" ht="15" customHeight="1">
      <c r="A740" s="91"/>
    </row>
    <row r="741" spans="1:1" ht="15" customHeight="1">
      <c r="A741" s="91"/>
    </row>
    <row r="742" spans="1:1" ht="15" customHeight="1">
      <c r="A742" s="91"/>
    </row>
    <row r="743" spans="1:1" ht="15" customHeight="1">
      <c r="A743" s="91"/>
    </row>
    <row r="744" spans="1:1" ht="15" customHeight="1">
      <c r="A744" s="91"/>
    </row>
    <row r="745" spans="1:1" ht="15" customHeight="1">
      <c r="A745" s="91"/>
    </row>
    <row r="746" spans="1:1" ht="15" customHeight="1">
      <c r="A746" s="91"/>
    </row>
    <row r="747" spans="1:1" ht="15" customHeight="1">
      <c r="A747" s="91"/>
    </row>
    <row r="748" spans="1:1" ht="15" customHeight="1">
      <c r="A748" s="91"/>
    </row>
    <row r="749" spans="1:1" ht="15" customHeight="1">
      <c r="A749" s="91"/>
    </row>
    <row r="750" spans="1:1" ht="15" customHeight="1">
      <c r="A750" s="91"/>
    </row>
    <row r="751" spans="1:1" ht="15" customHeight="1">
      <c r="A751" s="91"/>
    </row>
    <row r="752" spans="1:1" ht="15" customHeight="1">
      <c r="A752" s="91"/>
    </row>
    <row r="753" spans="1:1" ht="15" customHeight="1">
      <c r="A753" s="91"/>
    </row>
    <row r="754" spans="1:1" ht="15" customHeight="1">
      <c r="A754" s="91"/>
    </row>
    <row r="755" spans="1:1" ht="15" customHeight="1">
      <c r="A755" s="91"/>
    </row>
    <row r="756" spans="1:1" ht="15" customHeight="1">
      <c r="A756" s="91"/>
    </row>
    <row r="757" spans="1:1" ht="15" customHeight="1">
      <c r="A757" s="91"/>
    </row>
    <row r="758" spans="1:1" ht="15" customHeight="1">
      <c r="A758" s="91"/>
    </row>
    <row r="759" spans="1:1" ht="15" customHeight="1">
      <c r="A759" s="91"/>
    </row>
    <row r="760" spans="1:1" ht="15" customHeight="1">
      <c r="A760" s="91"/>
    </row>
    <row r="761" spans="1:1" ht="15" customHeight="1">
      <c r="A761" s="91"/>
    </row>
    <row r="762" spans="1:1" ht="15" customHeight="1">
      <c r="A762" s="91"/>
    </row>
    <row r="763" spans="1:1" ht="15" customHeight="1">
      <c r="A763" s="91"/>
    </row>
    <row r="764" spans="1:1" ht="15" customHeight="1">
      <c r="A764" s="91"/>
    </row>
    <row r="765" spans="1:1" ht="15" customHeight="1">
      <c r="A765" s="91"/>
    </row>
    <row r="766" spans="1:1" ht="15" customHeight="1">
      <c r="A766" s="91"/>
    </row>
    <row r="767" spans="1:1" ht="15" customHeight="1">
      <c r="A767" s="91"/>
    </row>
    <row r="768" spans="1:1" ht="15" customHeight="1">
      <c r="A768" s="91"/>
    </row>
    <row r="769" spans="1:1" ht="15" customHeight="1">
      <c r="A769" s="91"/>
    </row>
    <row r="770" spans="1:1" ht="15" customHeight="1">
      <c r="A770" s="91"/>
    </row>
    <row r="771" spans="1:1" ht="15" customHeight="1">
      <c r="A771" s="91"/>
    </row>
    <row r="772" spans="1:1" ht="15" customHeight="1">
      <c r="A772" s="91"/>
    </row>
    <row r="773" spans="1:1" ht="15" customHeight="1">
      <c r="A773" s="91"/>
    </row>
    <row r="774" spans="1:1" ht="15" customHeight="1">
      <c r="A774" s="91"/>
    </row>
    <row r="775" spans="1:1" ht="15" customHeight="1">
      <c r="A775" s="91"/>
    </row>
    <row r="776" spans="1:1" ht="15" customHeight="1">
      <c r="A776" s="91"/>
    </row>
    <row r="777" spans="1:1" ht="15" customHeight="1">
      <c r="A777" s="91"/>
    </row>
    <row r="778" spans="1:1" ht="15" customHeight="1">
      <c r="A778" s="91"/>
    </row>
    <row r="779" spans="1:1" ht="15" customHeight="1">
      <c r="A779" s="91"/>
    </row>
    <row r="780" spans="1:1" ht="15" customHeight="1">
      <c r="A780" s="91"/>
    </row>
    <row r="781" spans="1:1" ht="15" customHeight="1">
      <c r="A781" s="91"/>
    </row>
    <row r="782" spans="1:1" ht="15" customHeight="1">
      <c r="A782" s="91"/>
    </row>
    <row r="783" spans="1:1" ht="15" customHeight="1">
      <c r="A783" s="91"/>
    </row>
    <row r="784" spans="1:1" ht="15" customHeight="1">
      <c r="A784" s="91"/>
    </row>
    <row r="785" spans="1:1" ht="15" customHeight="1">
      <c r="A785" s="91"/>
    </row>
    <row r="786" spans="1:1" ht="15" customHeight="1">
      <c r="A786" s="91"/>
    </row>
    <row r="787" spans="1:1" ht="15" customHeight="1">
      <c r="A787" s="91"/>
    </row>
    <row r="788" spans="1:1" ht="15" customHeight="1">
      <c r="A788" s="91"/>
    </row>
    <row r="789" spans="1:1" ht="15" customHeight="1">
      <c r="A789" s="91"/>
    </row>
    <row r="790" spans="1:1" ht="15" customHeight="1">
      <c r="A790" s="91"/>
    </row>
    <row r="791" spans="1:1" ht="15" customHeight="1">
      <c r="A791" s="91"/>
    </row>
    <row r="792" spans="1:1" ht="15" customHeight="1">
      <c r="A792" s="91"/>
    </row>
    <row r="793" spans="1:1" ht="15" customHeight="1">
      <c r="A793" s="91"/>
    </row>
    <row r="794" spans="1:1" ht="15" customHeight="1">
      <c r="A794" s="91"/>
    </row>
    <row r="795" spans="1:1" ht="15" customHeight="1">
      <c r="A795" s="91"/>
    </row>
    <row r="796" spans="1:1" ht="15" customHeight="1">
      <c r="A796" s="91"/>
    </row>
    <row r="797" spans="1:1" ht="15" customHeight="1">
      <c r="A797" s="91"/>
    </row>
    <row r="798" spans="1:1" ht="15" customHeight="1">
      <c r="A798" s="91"/>
    </row>
    <row r="799" spans="1:1" ht="15" customHeight="1">
      <c r="A799" s="91"/>
    </row>
    <row r="800" spans="1:1" ht="15" customHeight="1">
      <c r="A800" s="91"/>
    </row>
    <row r="801" spans="1:1" ht="15" customHeight="1">
      <c r="A801" s="91"/>
    </row>
    <row r="802" spans="1:1" ht="15" customHeight="1">
      <c r="A802" s="91"/>
    </row>
    <row r="803" spans="1:1" ht="15" customHeight="1">
      <c r="A803" s="91"/>
    </row>
    <row r="804" spans="1:1" ht="15" customHeight="1">
      <c r="A804" s="91"/>
    </row>
    <row r="805" spans="1:1" ht="15" customHeight="1">
      <c r="A805" s="91"/>
    </row>
    <row r="806" spans="1:1" ht="15" customHeight="1">
      <c r="A806" s="91"/>
    </row>
    <row r="807" spans="1:1" ht="15" customHeight="1">
      <c r="A807" s="91"/>
    </row>
    <row r="808" spans="1:1" ht="15" customHeight="1">
      <c r="A808" s="91"/>
    </row>
    <row r="809" spans="1:1" ht="15" customHeight="1">
      <c r="A809" s="91"/>
    </row>
    <row r="810" spans="1:1" ht="15" customHeight="1">
      <c r="A810" s="91"/>
    </row>
    <row r="811" spans="1:1" ht="15" customHeight="1">
      <c r="A811" s="91"/>
    </row>
    <row r="812" spans="1:1" ht="15" customHeight="1">
      <c r="A812" s="91"/>
    </row>
    <row r="813" spans="1:1" ht="15" customHeight="1">
      <c r="A813" s="91"/>
    </row>
    <row r="814" spans="1:1" ht="15" customHeight="1">
      <c r="A814" s="91"/>
    </row>
    <row r="815" spans="1:1" ht="15" customHeight="1">
      <c r="A815" s="91"/>
    </row>
    <row r="816" spans="1:1" ht="15" customHeight="1">
      <c r="A816" s="91"/>
    </row>
    <row r="817" spans="1:1" ht="15" customHeight="1">
      <c r="A817" s="91"/>
    </row>
    <row r="818" spans="1:1" ht="15" customHeight="1">
      <c r="A818" s="91"/>
    </row>
    <row r="819" spans="1:1" ht="15" customHeight="1">
      <c r="A819" s="91"/>
    </row>
    <row r="820" spans="1:1" ht="15" customHeight="1">
      <c r="A820" s="91"/>
    </row>
    <row r="821" spans="1:1" ht="15" customHeight="1">
      <c r="A821" s="91"/>
    </row>
    <row r="822" spans="1:1" ht="15" customHeight="1">
      <c r="A822" s="91"/>
    </row>
    <row r="823" spans="1:1" ht="15" customHeight="1">
      <c r="A823" s="91"/>
    </row>
    <row r="824" spans="1:1" ht="15" customHeight="1">
      <c r="A824" s="91"/>
    </row>
    <row r="825" spans="1:1" ht="15" customHeight="1">
      <c r="A825" s="91"/>
    </row>
    <row r="826" spans="1:1" ht="15" customHeight="1">
      <c r="A826" s="91"/>
    </row>
    <row r="827" spans="1:1" ht="15" customHeight="1">
      <c r="A827" s="91"/>
    </row>
    <row r="828" spans="1:1" ht="15" customHeight="1">
      <c r="A828" s="91"/>
    </row>
    <row r="829" spans="1:1" ht="15" customHeight="1">
      <c r="A829" s="91"/>
    </row>
    <row r="830" spans="1:1" ht="15" customHeight="1">
      <c r="A830" s="91"/>
    </row>
    <row r="831" spans="1:1" ht="15" customHeight="1">
      <c r="A831" s="91"/>
    </row>
    <row r="832" spans="1:1" ht="15" customHeight="1">
      <c r="A832" s="91"/>
    </row>
    <row r="833" spans="1:1" ht="15" customHeight="1">
      <c r="A833" s="91"/>
    </row>
    <row r="834" spans="1:1" ht="15" customHeight="1">
      <c r="A834" s="91"/>
    </row>
    <row r="835" spans="1:1" ht="15" customHeight="1">
      <c r="A835" s="91"/>
    </row>
    <row r="836" spans="1:1" ht="15" customHeight="1">
      <c r="A836" s="91"/>
    </row>
    <row r="837" spans="1:1" ht="15" customHeight="1">
      <c r="A837" s="91"/>
    </row>
    <row r="838" spans="1:1" ht="15" customHeight="1">
      <c r="A838" s="91"/>
    </row>
    <row r="839" spans="1:1" ht="15" customHeight="1">
      <c r="A839" s="91"/>
    </row>
    <row r="840" spans="1:1" ht="15" customHeight="1">
      <c r="A840" s="91"/>
    </row>
    <row r="841" spans="1:1" ht="15" customHeight="1">
      <c r="A841" s="91"/>
    </row>
    <row r="842" spans="1:1" ht="15" customHeight="1">
      <c r="A842" s="91"/>
    </row>
    <row r="843" spans="1:1" ht="15" customHeight="1">
      <c r="A843" s="91"/>
    </row>
    <row r="844" spans="1:1" ht="15" customHeight="1">
      <c r="A844" s="91"/>
    </row>
    <row r="845" spans="1:1" ht="15" customHeight="1">
      <c r="A845" s="91"/>
    </row>
    <row r="846" spans="1:1" ht="15" customHeight="1">
      <c r="A846" s="91"/>
    </row>
    <row r="847" spans="1:1" ht="15" customHeight="1">
      <c r="A847" s="91"/>
    </row>
    <row r="848" spans="1:1" ht="15" customHeight="1">
      <c r="A848" s="91"/>
    </row>
    <row r="849" spans="1:1" ht="15" customHeight="1">
      <c r="A849" s="91"/>
    </row>
    <row r="850" spans="1:1" ht="15" customHeight="1">
      <c r="A850" s="91"/>
    </row>
    <row r="851" spans="1:1" ht="15" customHeight="1">
      <c r="A851" s="91"/>
    </row>
    <row r="852" spans="1:1" ht="15" customHeight="1">
      <c r="A852" s="91"/>
    </row>
    <row r="853" spans="1:1" ht="15" customHeight="1">
      <c r="A853" s="91"/>
    </row>
    <row r="854" spans="1:1" ht="15" customHeight="1">
      <c r="A854" s="91"/>
    </row>
    <row r="855" spans="1:1" ht="15" customHeight="1">
      <c r="A855" s="91"/>
    </row>
    <row r="856" spans="1:1" ht="15" customHeight="1">
      <c r="A856" s="91"/>
    </row>
    <row r="857" spans="1:1" ht="15" customHeight="1">
      <c r="A857" s="91"/>
    </row>
    <row r="858" spans="1:1" ht="15" customHeight="1">
      <c r="A858" s="91"/>
    </row>
    <row r="859" spans="1:1" ht="15" customHeight="1">
      <c r="A859" s="91"/>
    </row>
    <row r="860" spans="1:1" ht="15" customHeight="1">
      <c r="A860" s="91"/>
    </row>
    <row r="861" spans="1:1" ht="15" customHeight="1">
      <c r="A861" s="91"/>
    </row>
    <row r="862" spans="1:1" ht="15" customHeight="1">
      <c r="A862" s="91"/>
    </row>
    <row r="863" spans="1:1" ht="15" customHeight="1">
      <c r="A863" s="91"/>
    </row>
    <row r="864" spans="1:1" ht="15" customHeight="1">
      <c r="A864" s="91"/>
    </row>
    <row r="865" spans="1:1" ht="15" customHeight="1">
      <c r="A865" s="91"/>
    </row>
    <row r="866" spans="1:1" ht="15" customHeight="1">
      <c r="A866" s="91"/>
    </row>
    <row r="867" spans="1:1" ht="15" customHeight="1">
      <c r="A867" s="91"/>
    </row>
    <row r="868" spans="1:1" ht="15" customHeight="1">
      <c r="A868" s="91"/>
    </row>
    <row r="869" spans="1:1" ht="15" customHeight="1">
      <c r="A869" s="91"/>
    </row>
    <row r="870" spans="1:1" ht="15" customHeight="1">
      <c r="A870" s="91"/>
    </row>
    <row r="871" spans="1:1" ht="15" customHeight="1">
      <c r="A871" s="91"/>
    </row>
    <row r="872" spans="1:1" ht="15" customHeight="1">
      <c r="A872" s="91"/>
    </row>
    <row r="873" spans="1:1" ht="15" customHeight="1">
      <c r="A873" s="91"/>
    </row>
    <row r="874" spans="1:1" ht="15" customHeight="1">
      <c r="A874" s="91"/>
    </row>
    <row r="875" spans="1:1" ht="15" customHeight="1">
      <c r="A875" s="91"/>
    </row>
    <row r="876" spans="1:1" ht="15" customHeight="1">
      <c r="A876" s="91"/>
    </row>
    <row r="877" spans="1:1" ht="15" customHeight="1">
      <c r="A877" s="91"/>
    </row>
    <row r="878" spans="1:1" ht="15" customHeight="1">
      <c r="A878" s="91"/>
    </row>
    <row r="879" spans="1:1" ht="15" customHeight="1">
      <c r="A879" s="91"/>
    </row>
    <row r="880" spans="1:1" ht="15" customHeight="1">
      <c r="A880" s="91"/>
    </row>
    <row r="881" spans="1:1" ht="15" customHeight="1">
      <c r="A881" s="91"/>
    </row>
    <row r="882" spans="1:1" ht="15" customHeight="1">
      <c r="A882" s="91"/>
    </row>
    <row r="883" spans="1:1" ht="15" customHeight="1">
      <c r="A883" s="91"/>
    </row>
    <row r="884" spans="1:1" ht="15" customHeight="1">
      <c r="A884" s="91"/>
    </row>
    <row r="885" spans="1:1" ht="15" customHeight="1">
      <c r="A885" s="91"/>
    </row>
    <row r="886" spans="1:1" ht="15" customHeight="1">
      <c r="A886" s="91"/>
    </row>
    <row r="887" spans="1:1" ht="15" customHeight="1">
      <c r="A887" s="91"/>
    </row>
    <row r="888" spans="1:1" ht="15" customHeight="1">
      <c r="A888" s="91"/>
    </row>
    <row r="889" spans="1:1" ht="15" customHeight="1">
      <c r="A889" s="91"/>
    </row>
    <row r="890" spans="1:1" ht="15" customHeight="1">
      <c r="A890" s="91"/>
    </row>
    <row r="891" spans="1:1" ht="15" customHeight="1">
      <c r="A891" s="91"/>
    </row>
    <row r="892" spans="1:1" ht="15" customHeight="1">
      <c r="A892" s="91"/>
    </row>
    <row r="893" spans="1:1" ht="15" customHeight="1">
      <c r="A893" s="91"/>
    </row>
    <row r="894" spans="1:1" ht="15" customHeight="1">
      <c r="A894" s="91"/>
    </row>
    <row r="895" spans="1:1" ht="15" customHeight="1">
      <c r="A895" s="91"/>
    </row>
    <row r="896" spans="1:1" ht="15" customHeight="1">
      <c r="A896" s="91"/>
    </row>
    <row r="897" spans="1:1" ht="15" customHeight="1">
      <c r="A897" s="91"/>
    </row>
    <row r="898" spans="1:1" ht="15" customHeight="1">
      <c r="A898" s="91"/>
    </row>
    <row r="899" spans="1:1" ht="15" customHeight="1">
      <c r="A899" s="91"/>
    </row>
    <row r="900" spans="1:1" ht="15" customHeight="1">
      <c r="A900" s="91"/>
    </row>
    <row r="901" spans="1:1" ht="15" customHeight="1">
      <c r="A901" s="91"/>
    </row>
    <row r="902" spans="1:1" ht="15" customHeight="1">
      <c r="A902" s="91"/>
    </row>
    <row r="903" spans="1:1" ht="15" customHeight="1">
      <c r="A903" s="91"/>
    </row>
    <row r="904" spans="1:1" ht="15" customHeight="1">
      <c r="A904" s="91"/>
    </row>
    <row r="905" spans="1:1" ht="15" customHeight="1">
      <c r="A905" s="91"/>
    </row>
    <row r="906" spans="1:1" ht="15" customHeight="1">
      <c r="A906" s="91"/>
    </row>
    <row r="907" spans="1:1" ht="15" customHeight="1">
      <c r="A907" s="91"/>
    </row>
    <row r="908" spans="1:1" ht="15" customHeight="1">
      <c r="A908" s="91"/>
    </row>
    <row r="909" spans="1:1" ht="15" customHeight="1">
      <c r="A909" s="91"/>
    </row>
    <row r="910" spans="1:1" ht="15" customHeight="1">
      <c r="A910" s="91"/>
    </row>
    <row r="911" spans="1:1" ht="15" customHeight="1">
      <c r="A911" s="91"/>
    </row>
    <row r="912" spans="1:1" ht="15" customHeight="1">
      <c r="A912" s="91"/>
    </row>
    <row r="913" spans="1:1" ht="15" customHeight="1">
      <c r="A913" s="91"/>
    </row>
    <row r="914" spans="1:1" ht="15" customHeight="1">
      <c r="A914" s="91"/>
    </row>
    <row r="915" spans="1:1" ht="15" customHeight="1">
      <c r="A915" s="91"/>
    </row>
    <row r="916" spans="1:1" ht="15" customHeight="1">
      <c r="A916" s="91"/>
    </row>
    <row r="917" spans="1:1" ht="15" customHeight="1">
      <c r="A917" s="91"/>
    </row>
    <row r="918" spans="1:1" ht="15" customHeight="1">
      <c r="A918" s="91"/>
    </row>
    <row r="919" spans="1:1" ht="15" customHeight="1">
      <c r="A919" s="91"/>
    </row>
    <row r="920" spans="1:1" ht="15" customHeight="1">
      <c r="A920" s="91"/>
    </row>
    <row r="921" spans="1:1" ht="15" customHeight="1">
      <c r="A921" s="91"/>
    </row>
    <row r="922" spans="1:1" ht="15" customHeight="1">
      <c r="A922" s="91"/>
    </row>
    <row r="923" spans="1:1" ht="15" customHeight="1">
      <c r="A923" s="91"/>
    </row>
    <row r="924" spans="1:1" ht="15" customHeight="1">
      <c r="A924" s="91"/>
    </row>
    <row r="925" spans="1:1" ht="15" customHeight="1">
      <c r="A925" s="91"/>
    </row>
    <row r="926" spans="1:1" ht="15" customHeight="1">
      <c r="A926" s="91"/>
    </row>
    <row r="927" spans="1:1" ht="15" customHeight="1">
      <c r="A927" s="91"/>
    </row>
    <row r="928" spans="1:1" ht="15" customHeight="1">
      <c r="A928" s="91"/>
    </row>
    <row r="929" spans="1:1" ht="15" customHeight="1">
      <c r="A929" s="91"/>
    </row>
    <row r="930" spans="1:1" ht="15" customHeight="1">
      <c r="A930" s="91"/>
    </row>
    <row r="931" spans="1:1" ht="15" customHeight="1">
      <c r="A931" s="91"/>
    </row>
    <row r="932" spans="1:1" ht="15" customHeight="1">
      <c r="A932" s="91"/>
    </row>
    <row r="933" spans="1:1" ht="15" customHeight="1">
      <c r="A933" s="91"/>
    </row>
    <row r="934" spans="1:1" ht="15" customHeight="1">
      <c r="A934" s="91"/>
    </row>
    <row r="935" spans="1:1" ht="15" customHeight="1">
      <c r="A935" s="91"/>
    </row>
    <row r="936" spans="1:1" ht="15" customHeight="1">
      <c r="A936" s="91"/>
    </row>
    <row r="937" spans="1:1" ht="15" customHeight="1">
      <c r="A937" s="91"/>
    </row>
    <row r="938" spans="1:1" ht="15" customHeight="1">
      <c r="A938" s="91"/>
    </row>
    <row r="939" spans="1:1" ht="15" customHeight="1">
      <c r="A939" s="91"/>
    </row>
    <row r="940" spans="1:1" ht="15" customHeight="1">
      <c r="A940" s="91"/>
    </row>
    <row r="941" spans="1:1" ht="15" customHeight="1">
      <c r="A941" s="91"/>
    </row>
    <row r="942" spans="1:1" ht="15" customHeight="1">
      <c r="A942" s="91"/>
    </row>
    <row r="943" spans="1:1" ht="15" customHeight="1">
      <c r="A943" s="91"/>
    </row>
    <row r="944" spans="1:1" ht="15" customHeight="1">
      <c r="A944" s="91"/>
    </row>
    <row r="945" spans="1:1" ht="15" customHeight="1">
      <c r="A945" s="91"/>
    </row>
    <row r="946" spans="1:1" ht="15" customHeight="1">
      <c r="A946" s="91"/>
    </row>
    <row r="947" spans="1:1" ht="15" customHeight="1">
      <c r="A947" s="91"/>
    </row>
    <row r="948" spans="1:1" ht="15" customHeight="1">
      <c r="A948" s="91"/>
    </row>
    <row r="949" spans="1:1" ht="15" customHeight="1">
      <c r="A949" s="91"/>
    </row>
    <row r="950" spans="1:1" ht="15" customHeight="1">
      <c r="A950" s="91"/>
    </row>
    <row r="951" spans="1:1" ht="15" customHeight="1">
      <c r="A951" s="91"/>
    </row>
    <row r="952" spans="1:1" ht="15" customHeight="1">
      <c r="A952" s="91"/>
    </row>
    <row r="953" spans="1:1" ht="15" customHeight="1">
      <c r="A953" s="91"/>
    </row>
    <row r="954" spans="1:1" ht="15" customHeight="1">
      <c r="A954" s="91"/>
    </row>
    <row r="955" spans="1:1" ht="15" customHeight="1">
      <c r="A955" s="91"/>
    </row>
    <row r="956" spans="1:1" ht="15" customHeight="1">
      <c r="A956" s="91"/>
    </row>
    <row r="957" spans="1:1" ht="15" customHeight="1">
      <c r="A957" s="91"/>
    </row>
    <row r="958" spans="1:1" ht="15" customHeight="1">
      <c r="A958" s="91"/>
    </row>
    <row r="959" spans="1:1" ht="15" customHeight="1">
      <c r="A959" s="91"/>
    </row>
    <row r="960" spans="1:1" ht="15" customHeight="1">
      <c r="A960" s="91"/>
    </row>
    <row r="961" spans="1:1" ht="15" customHeight="1">
      <c r="A961" s="91"/>
    </row>
    <row r="962" spans="1:1" ht="15" customHeight="1">
      <c r="A962" s="91"/>
    </row>
    <row r="963" spans="1:1" ht="15" customHeight="1">
      <c r="A963" s="91"/>
    </row>
    <row r="964" spans="1:1" ht="15" customHeight="1">
      <c r="A964" s="91"/>
    </row>
    <row r="965" spans="1:1" ht="15" customHeight="1">
      <c r="A965" s="91"/>
    </row>
    <row r="966" spans="1:1" ht="15" customHeight="1">
      <c r="A966" s="91"/>
    </row>
    <row r="967" spans="1:1" ht="15" customHeight="1">
      <c r="A967" s="91"/>
    </row>
    <row r="968" spans="1:1" ht="15" customHeight="1">
      <c r="A968" s="91"/>
    </row>
    <row r="969" spans="1:1" ht="15" customHeight="1">
      <c r="A969" s="91"/>
    </row>
    <row r="970" spans="1:1" ht="15" customHeight="1">
      <c r="A970" s="91"/>
    </row>
    <row r="971" spans="1:1" ht="15" customHeight="1">
      <c r="A971" s="91"/>
    </row>
    <row r="972" spans="1:1" ht="15" customHeight="1">
      <c r="A972" s="91"/>
    </row>
    <row r="973" spans="1:1" ht="15" customHeight="1">
      <c r="A973" s="91"/>
    </row>
    <row r="974" spans="1:1" ht="15" customHeight="1">
      <c r="A974" s="91"/>
    </row>
    <row r="975" spans="1:1" ht="15" customHeight="1">
      <c r="A975" s="91"/>
    </row>
    <row r="976" spans="1:1" ht="15" customHeight="1">
      <c r="A976" s="91"/>
    </row>
    <row r="977" spans="1:1" ht="15" customHeight="1">
      <c r="A977" s="91"/>
    </row>
    <row r="978" spans="1:1" ht="15" customHeight="1">
      <c r="A978" s="91"/>
    </row>
    <row r="979" spans="1:1" ht="15" customHeight="1">
      <c r="A979" s="91"/>
    </row>
    <row r="980" spans="1:1" ht="15" customHeight="1">
      <c r="A980" s="91"/>
    </row>
  </sheetData>
  <mergeCells count="25">
    <mergeCell ref="A6:B6"/>
    <mergeCell ref="C6:E6"/>
    <mergeCell ref="A1:E1"/>
    <mergeCell ref="C3:E3"/>
    <mergeCell ref="C4:E4"/>
    <mergeCell ref="A5:B5"/>
    <mergeCell ref="C5:E5"/>
    <mergeCell ref="A7:B7"/>
    <mergeCell ref="C7:E7"/>
    <mergeCell ref="A8:B8"/>
    <mergeCell ref="C8:E8"/>
    <mergeCell ref="A9:B9"/>
    <mergeCell ref="C9:E9"/>
    <mergeCell ref="A24:B24"/>
    <mergeCell ref="A11:E11"/>
    <mergeCell ref="A12:A13"/>
    <mergeCell ref="B12:B13"/>
    <mergeCell ref="C12:C13"/>
    <mergeCell ref="D12:F12"/>
    <mergeCell ref="J12:J13"/>
    <mergeCell ref="A18:B18"/>
    <mergeCell ref="A21:C21"/>
    <mergeCell ref="A22:B23"/>
    <mergeCell ref="C22:F22"/>
    <mergeCell ref="G12:I12"/>
  </mergeCells>
  <pageMargins left="0.7" right="0.7" top="0.75" bottom="0.75" header="0.3" footer="0.3"/>
  <pageSetup scale="5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showGridLines="0" topLeftCell="A24" zoomScaleNormal="100" workbookViewId="0">
      <selection activeCell="L34" sqref="L34"/>
    </sheetView>
  </sheetViews>
  <sheetFormatPr defaultRowHeight="14.45" outlineLevelRow="1"/>
  <cols>
    <col min="1" max="1" width="15.42578125" customWidth="1"/>
    <col min="2" max="2" width="32.5703125" customWidth="1"/>
    <col min="3" max="3" width="41.140625" customWidth="1"/>
    <col min="4" max="4" width="43.140625" customWidth="1"/>
    <col min="5" max="5" width="14" customWidth="1"/>
    <col min="6" max="6" width="15.140625" customWidth="1"/>
    <col min="7" max="7" width="12" customWidth="1"/>
    <col min="8" max="8" width="19.42578125" bestFit="1" customWidth="1"/>
    <col min="9" max="9" width="9.42578125" bestFit="1" customWidth="1"/>
    <col min="10" max="10" width="11.85546875" bestFit="1" customWidth="1"/>
    <col min="11" max="11" width="9.42578125" bestFit="1" customWidth="1"/>
    <col min="12" max="12" width="12.28515625" bestFit="1" customWidth="1"/>
    <col min="13" max="13" width="11" bestFit="1" customWidth="1"/>
  </cols>
  <sheetData>
    <row r="1" spans="1:13" s="1" customFormat="1" ht="16.5">
      <c r="A1" s="63" t="s">
        <v>90</v>
      </c>
      <c r="B1" s="227" t="s">
        <v>12</v>
      </c>
      <c r="C1" s="227"/>
      <c r="D1" s="228"/>
      <c r="E1" s="228"/>
      <c r="F1" s="228"/>
      <c r="G1" s="228"/>
      <c r="H1" s="11"/>
      <c r="I1" s="12"/>
      <c r="J1" s="13"/>
      <c r="K1" s="13"/>
      <c r="L1" s="13"/>
      <c r="M1" s="13"/>
    </row>
    <row r="2" spans="1:13" s="1" customFormat="1" ht="33">
      <c r="A2" s="63" t="s">
        <v>107</v>
      </c>
      <c r="B2" s="227"/>
      <c r="C2" s="227"/>
      <c r="D2" s="228"/>
      <c r="E2" s="228"/>
      <c r="F2" s="228"/>
      <c r="G2" s="228"/>
      <c r="H2" s="11"/>
      <c r="I2" s="12"/>
      <c r="J2" s="13"/>
      <c r="K2" s="13"/>
      <c r="L2" s="13"/>
      <c r="M2" s="13"/>
    </row>
    <row r="3" spans="1:13" s="1" customFormat="1" ht="16.5">
      <c r="A3" s="63" t="s">
        <v>85</v>
      </c>
      <c r="B3" s="227" t="s">
        <v>108</v>
      </c>
      <c r="C3" s="227"/>
      <c r="D3" s="228"/>
      <c r="E3" s="228"/>
      <c r="F3" s="228"/>
      <c r="G3" s="228"/>
      <c r="H3" s="16"/>
      <c r="I3" s="12"/>
      <c r="J3" s="13"/>
      <c r="K3" s="13"/>
      <c r="L3" s="13"/>
      <c r="M3" s="13"/>
    </row>
    <row r="4" spans="1:13" s="1" customFormat="1" ht="33">
      <c r="A4" s="64" t="s">
        <v>109</v>
      </c>
      <c r="B4" s="229" t="s">
        <v>110</v>
      </c>
      <c r="C4" s="230"/>
      <c r="D4" s="230"/>
      <c r="E4" s="230"/>
      <c r="F4" s="230"/>
      <c r="G4" s="230"/>
      <c r="H4" s="16"/>
      <c r="I4" s="12"/>
      <c r="J4" s="13"/>
      <c r="K4" s="13"/>
      <c r="L4" s="13"/>
      <c r="M4" s="13"/>
    </row>
    <row r="5" spans="1:13" s="1" customFormat="1" ht="16.5">
      <c r="A5" s="231" t="s">
        <v>111</v>
      </c>
      <c r="B5" s="231"/>
      <c r="C5" s="231"/>
      <c r="D5" s="231" t="s">
        <v>112</v>
      </c>
      <c r="E5" s="231"/>
      <c r="F5" s="231"/>
      <c r="G5" s="66"/>
      <c r="H5" s="65" t="s">
        <v>113</v>
      </c>
      <c r="I5" s="67" t="s">
        <v>114</v>
      </c>
      <c r="J5" s="67" t="s">
        <v>115</v>
      </c>
      <c r="K5" s="67" t="s">
        <v>116</v>
      </c>
      <c r="L5" s="67" t="s">
        <v>117</v>
      </c>
      <c r="M5" s="67" t="s">
        <v>118</v>
      </c>
    </row>
    <row r="6" spans="1:13" s="1" customFormat="1" ht="33">
      <c r="A6" s="68" t="s">
        <v>95</v>
      </c>
      <c r="B6" s="65" t="s">
        <v>96</v>
      </c>
      <c r="C6" s="65" t="s">
        <v>97</v>
      </c>
      <c r="D6" s="65" t="s">
        <v>95</v>
      </c>
      <c r="E6" s="65" t="s">
        <v>96</v>
      </c>
      <c r="F6" s="65" t="s">
        <v>97</v>
      </c>
      <c r="G6" s="65" t="s">
        <v>119</v>
      </c>
      <c r="H6" s="65">
        <v>1</v>
      </c>
      <c r="I6" s="69">
        <f>COUNTIF(J$11:J$537,"Open")</f>
        <v>0</v>
      </c>
      <c r="J6" s="69">
        <f>COUNTIF(J$11:J$537,"Re-Open")</f>
        <v>0</v>
      </c>
      <c r="K6" s="69">
        <f>COUNTIF(J$11:J$537,"Closed")</f>
        <v>0</v>
      </c>
      <c r="L6" s="69">
        <f>COUNTIF(J$11:J$537,"Unconfirm")</f>
        <v>0</v>
      </c>
      <c r="M6" s="69">
        <f>COUNTIF(J$11:J$537,"Resolved")</f>
        <v>0</v>
      </c>
    </row>
    <row r="7" spans="1:13" s="1" customFormat="1" ht="16.5">
      <c r="A7" s="70">
        <f>COUNTIF(I$11:I$512,"Pass")</f>
        <v>17</v>
      </c>
      <c r="B7" s="70">
        <f>COUNTIF(I$11:I$512,"Fail")</f>
        <v>0</v>
      </c>
      <c r="C7" s="70">
        <f>COUNTIF(I$11:I$512,"N/A")</f>
        <v>0</v>
      </c>
      <c r="D7" s="70">
        <f>COUNTIF(K$11:K$512,"Pass")</f>
        <v>0</v>
      </c>
      <c r="E7" s="70">
        <f>COUNTIF(K$11:K$537,"Fail")</f>
        <v>0</v>
      </c>
      <c r="F7" s="70">
        <f>COUNTIF(K$11:K$537,"N/A")</f>
        <v>0</v>
      </c>
      <c r="G7" s="71">
        <f>COUNTA(D11:D308)</f>
        <v>17</v>
      </c>
      <c r="H7" s="65">
        <v>2</v>
      </c>
      <c r="I7" s="69">
        <f>COUNTIF(K$11:K$537,"Open")</f>
        <v>0</v>
      </c>
      <c r="J7" s="69">
        <f>COUNTIF(L$11:L$537,"Re-Open")</f>
        <v>0</v>
      </c>
      <c r="K7" s="69">
        <f>COUNTIF(L$11:L$537,"Closed")</f>
        <v>0</v>
      </c>
      <c r="L7" s="69">
        <f>COUNTIF(L$11:L$537,"Unconfirm")</f>
        <v>0</v>
      </c>
      <c r="M7" s="69">
        <f>COUNTIF(L$11:L$537,"Resolved")</f>
        <v>0</v>
      </c>
    </row>
    <row r="8" spans="1:13" s="1" customFormat="1" ht="16.5">
      <c r="A8" s="13"/>
      <c r="B8" s="13"/>
      <c r="C8" s="13"/>
      <c r="D8" s="13"/>
      <c r="E8" s="13"/>
      <c r="F8" s="13"/>
      <c r="G8" s="12">
        <f>G7-A7-B7-C7</f>
        <v>0</v>
      </c>
      <c r="H8" s="13"/>
      <c r="I8" s="12"/>
      <c r="J8" s="13"/>
      <c r="K8" s="13"/>
      <c r="L8" s="13"/>
      <c r="M8" s="13"/>
    </row>
    <row r="9" spans="1:13" s="2" customFormat="1" ht="16.5">
      <c r="A9" s="212" t="s">
        <v>120</v>
      </c>
      <c r="B9" s="212" t="s">
        <v>121</v>
      </c>
      <c r="C9" s="212" t="s">
        <v>122</v>
      </c>
      <c r="D9" s="212" t="s">
        <v>123</v>
      </c>
      <c r="E9" s="212" t="s">
        <v>124</v>
      </c>
      <c r="F9" s="212" t="s">
        <v>125</v>
      </c>
      <c r="G9" s="212" t="s">
        <v>126</v>
      </c>
      <c r="H9" s="212" t="s">
        <v>64</v>
      </c>
      <c r="I9" s="212" t="s">
        <v>127</v>
      </c>
      <c r="J9" s="213"/>
      <c r="K9" s="212" t="s">
        <v>128</v>
      </c>
      <c r="L9" s="213"/>
      <c r="M9" s="212" t="s">
        <v>129</v>
      </c>
    </row>
    <row r="10" spans="1:13" s="2" customFormat="1" ht="33">
      <c r="A10" s="213"/>
      <c r="B10" s="213"/>
      <c r="C10" s="213"/>
      <c r="D10" s="213"/>
      <c r="E10" s="212"/>
      <c r="F10" s="214"/>
      <c r="G10" s="214"/>
      <c r="H10" s="213"/>
      <c r="I10" s="36" t="s">
        <v>130</v>
      </c>
      <c r="J10" s="36" t="s">
        <v>131</v>
      </c>
      <c r="K10" s="36" t="s">
        <v>130</v>
      </c>
      <c r="L10" s="36" t="s">
        <v>131</v>
      </c>
      <c r="M10" s="213"/>
    </row>
    <row r="11" spans="1:13" s="4" customFormat="1" ht="45" hidden="1" customHeight="1" outlineLevel="1">
      <c r="A11" s="44" t="str">
        <f>IF(OR(B11&lt;&gt;"",D11&lt;&gt;""),"["&amp;TEXT($B$1,"##")&amp;"-"&amp;TEXT(COUNTA($D$11:D11),"##")&amp;"]","")</f>
        <v>[Tên chức năng-1]</v>
      </c>
      <c r="B11" s="45" t="s">
        <v>132</v>
      </c>
      <c r="C11" s="46" t="s">
        <v>133</v>
      </c>
      <c r="D11" s="46" t="s">
        <v>134</v>
      </c>
      <c r="E11" s="46"/>
      <c r="F11" s="46"/>
      <c r="G11" s="46"/>
      <c r="H11" s="46"/>
      <c r="I11" s="42" t="s">
        <v>95</v>
      </c>
      <c r="J11" s="46"/>
      <c r="K11" s="42"/>
      <c r="L11" s="46"/>
      <c r="M11" s="46"/>
    </row>
    <row r="12" spans="1:13" s="5" customFormat="1" ht="16.5" collapsed="1">
      <c r="A12" s="224" t="s">
        <v>135</v>
      </c>
      <c r="B12" s="225"/>
      <c r="C12" s="225"/>
      <c r="D12" s="225"/>
      <c r="E12" s="225"/>
      <c r="F12" s="225"/>
      <c r="G12" s="225"/>
      <c r="H12" s="225"/>
      <c r="I12" s="225"/>
      <c r="J12" s="225"/>
      <c r="K12" s="225"/>
      <c r="L12" s="225"/>
      <c r="M12" s="226"/>
    </row>
    <row r="13" spans="1:13" s="6" customFormat="1" ht="16.5">
      <c r="A13" s="208" t="s">
        <v>136</v>
      </c>
      <c r="B13" s="210"/>
      <c r="C13" s="210"/>
      <c r="D13" s="210"/>
      <c r="E13" s="210"/>
      <c r="F13" s="210"/>
      <c r="G13" s="210"/>
      <c r="H13" s="210"/>
      <c r="I13" s="210"/>
      <c r="J13" s="210"/>
      <c r="K13" s="210"/>
      <c r="L13" s="210"/>
      <c r="M13" s="211"/>
    </row>
    <row r="14" spans="1:13" s="6" customFormat="1" ht="16.5">
      <c r="A14" s="47"/>
      <c r="B14" s="217" t="s">
        <v>137</v>
      </c>
      <c r="C14" s="218"/>
      <c r="D14" s="218"/>
      <c r="E14" s="218"/>
      <c r="F14" s="218"/>
      <c r="G14" s="218"/>
      <c r="H14" s="218"/>
      <c r="I14" s="218"/>
      <c r="J14" s="218"/>
      <c r="K14" s="218"/>
      <c r="L14" s="218"/>
      <c r="M14" s="219"/>
    </row>
    <row r="15" spans="1:13" s="8" customFormat="1" ht="66" hidden="1" outlineLevel="1">
      <c r="A15" s="37" t="str">
        <f>IF(OR(B15&lt;&gt;"",D15&lt;&gt;""),"["&amp;TEXT($B$1,"##")&amp;"-"&amp;TEXT(COUNTA($D$11:D15),"##")&amp;"]","")</f>
        <v>[Tên chức năng-2]</v>
      </c>
      <c r="B15" s="37" t="s">
        <v>138</v>
      </c>
      <c r="C15" s="37" t="s">
        <v>139</v>
      </c>
      <c r="D15" s="48" t="s">
        <v>140</v>
      </c>
      <c r="E15" s="37"/>
      <c r="F15" s="40"/>
      <c r="G15" s="41" t="s">
        <v>141</v>
      </c>
      <c r="H15" s="49"/>
      <c r="I15" s="42" t="s">
        <v>95</v>
      </c>
      <c r="J15" s="37"/>
      <c r="K15" s="42"/>
      <c r="L15" s="37"/>
      <c r="M15" s="37"/>
    </row>
    <row r="16" spans="1:13" s="7" customFormat="1" ht="33" hidden="1" outlineLevel="1">
      <c r="A16" s="37" t="str">
        <f>IF(OR(B16&lt;&gt;"",D16&lt;&gt;""),"["&amp;TEXT($B$1,"##")&amp;"-"&amp;TEXT(COUNTA($D$11:D16),"##")&amp;"]","")</f>
        <v>[Tên chức năng-3]</v>
      </c>
      <c r="B16" s="50" t="s">
        <v>142</v>
      </c>
      <c r="C16" s="37" t="s">
        <v>142</v>
      </c>
      <c r="D16" s="37" t="s">
        <v>143</v>
      </c>
      <c r="E16" s="50"/>
      <c r="F16" s="51"/>
      <c r="G16" s="52"/>
      <c r="H16" s="53"/>
      <c r="I16" s="42" t="s">
        <v>95</v>
      </c>
      <c r="J16" s="50"/>
      <c r="K16" s="42"/>
      <c r="L16" s="50"/>
      <c r="M16" s="50"/>
    </row>
    <row r="17" spans="1:13" s="8" customFormat="1" ht="33" hidden="1" outlineLevel="1">
      <c r="A17" s="37" t="str">
        <f>IF(OR(B17&lt;&gt;"",D17&lt;&gt;""),"["&amp;TEXT($B$1,"##")&amp;"-"&amp;TEXT(COUNTA($D$11:D17),"##")&amp;"]","")</f>
        <v>[Tên chức năng-4]</v>
      </c>
      <c r="B17" s="37" t="s">
        <v>144</v>
      </c>
      <c r="C17" s="37" t="s">
        <v>144</v>
      </c>
      <c r="D17" s="37" t="s">
        <v>145</v>
      </c>
      <c r="E17" s="37"/>
      <c r="F17" s="40"/>
      <c r="G17" s="54"/>
      <c r="H17" s="49"/>
      <c r="I17" s="42" t="s">
        <v>95</v>
      </c>
      <c r="J17" s="37"/>
      <c r="K17" s="42"/>
      <c r="L17" s="37"/>
      <c r="M17" s="37"/>
    </row>
    <row r="18" spans="1:13" s="7" customFormat="1" ht="33" hidden="1" outlineLevel="1">
      <c r="A18" s="37" t="str">
        <f>IF(OR(B18&lt;&gt;"",D18&lt;&gt;""),"["&amp;TEXT($B$1,"##")&amp;"-"&amp;TEXT(COUNTA($D$11:D18),"##")&amp;"]","")</f>
        <v>[Tên chức năng-5]</v>
      </c>
      <c r="B18" s="50" t="s">
        <v>146</v>
      </c>
      <c r="C18" s="50" t="s">
        <v>147</v>
      </c>
      <c r="D18" s="55" t="s">
        <v>148</v>
      </c>
      <c r="E18" s="50"/>
      <c r="F18" s="51"/>
      <c r="G18" s="52"/>
      <c r="H18" s="53"/>
      <c r="I18" s="42" t="s">
        <v>95</v>
      </c>
      <c r="J18" s="50"/>
      <c r="K18" s="42"/>
      <c r="L18" s="50"/>
      <c r="M18" s="50"/>
    </row>
    <row r="19" spans="1:13" s="6" customFormat="1" ht="16.5" collapsed="1">
      <c r="A19" s="47"/>
      <c r="B19" s="220" t="s">
        <v>149</v>
      </c>
      <c r="C19" s="218"/>
      <c r="D19" s="218"/>
      <c r="E19" s="218"/>
      <c r="F19" s="218"/>
      <c r="G19" s="218"/>
      <c r="H19" s="218"/>
      <c r="I19" s="218"/>
      <c r="J19" s="218"/>
      <c r="K19" s="218"/>
      <c r="L19" s="218"/>
      <c r="M19" s="219"/>
    </row>
    <row r="20" spans="1:13" s="4" customFormat="1" ht="45" hidden="1" customHeight="1" outlineLevel="1">
      <c r="A20" s="44" t="str">
        <f>IF(OR(B20&lt;&gt;"",D20&lt;&gt;""),"["&amp;TEXT($B$1,"##")&amp;"-"&amp;TEXT(COUNTA($D$11:D20),"##")&amp;"]","")</f>
        <v>[Tên chức năng-6]</v>
      </c>
      <c r="B20" s="45" t="s">
        <v>150</v>
      </c>
      <c r="C20" s="46" t="s">
        <v>151</v>
      </c>
      <c r="D20" s="56" t="s">
        <v>152</v>
      </c>
      <c r="E20" s="46"/>
      <c r="F20" s="44"/>
      <c r="G20" s="57"/>
      <c r="H20" s="58"/>
      <c r="I20" s="42" t="s">
        <v>95</v>
      </c>
      <c r="J20" s="46"/>
      <c r="K20" s="42"/>
      <c r="L20" s="46"/>
      <c r="M20" s="46"/>
    </row>
    <row r="21" spans="1:13" s="4" customFormat="1" ht="45" hidden="1" customHeight="1" outlineLevel="1">
      <c r="A21" s="44" t="str">
        <f>IF(OR(B21&lt;&gt;"",D21&lt;&gt;""),"["&amp;TEXT($B$1,"##")&amp;"-"&amp;TEXT(COUNTA($D$11:D21),"##")&amp;"]","")</f>
        <v>[Tên chức năng-7]</v>
      </c>
      <c r="B21" s="45" t="s">
        <v>153</v>
      </c>
      <c r="C21" s="46" t="s">
        <v>151</v>
      </c>
      <c r="D21" s="46" t="s">
        <v>154</v>
      </c>
      <c r="E21" s="46"/>
      <c r="F21" s="44"/>
      <c r="G21" s="57"/>
      <c r="H21" s="58"/>
      <c r="I21" s="42" t="s">
        <v>95</v>
      </c>
      <c r="J21" s="46"/>
      <c r="K21" s="42"/>
      <c r="L21" s="46"/>
      <c r="M21" s="46"/>
    </row>
    <row r="22" spans="1:13" s="4" customFormat="1" ht="45" hidden="1" customHeight="1" outlineLevel="1">
      <c r="A22" s="44" t="str">
        <f>IF(OR(B22&lt;&gt;"",D22&lt;&gt;""),"["&amp;TEXT($B$1,"##")&amp;"-"&amp;TEXT(COUNTA($D$11:D22),"##")&amp;"]","")</f>
        <v>[Tên chức năng-8]</v>
      </c>
      <c r="B22" s="45" t="s">
        <v>155</v>
      </c>
      <c r="C22" s="46" t="s">
        <v>151</v>
      </c>
      <c r="D22" s="46" t="s">
        <v>154</v>
      </c>
      <c r="E22" s="46"/>
      <c r="F22" s="44"/>
      <c r="G22" s="57"/>
      <c r="H22" s="58"/>
      <c r="I22" s="42" t="s">
        <v>95</v>
      </c>
      <c r="J22" s="46"/>
      <c r="K22" s="42"/>
      <c r="L22" s="46"/>
      <c r="M22" s="46"/>
    </row>
    <row r="23" spans="1:13" s="4" customFormat="1" ht="45" hidden="1" customHeight="1" outlineLevel="1">
      <c r="A23" s="44" t="str">
        <f>IF(OR(B23&lt;&gt;"",D23&lt;&gt;""),"["&amp;TEXT($B$1,"##")&amp;"-"&amp;TEXT(COUNTA($D$11:D23),"##")&amp;"]","")</f>
        <v>[Tên chức năng-9]</v>
      </c>
      <c r="B23" s="45" t="s">
        <v>156</v>
      </c>
      <c r="C23" s="46" t="s">
        <v>151</v>
      </c>
      <c r="D23" s="46" t="s">
        <v>154</v>
      </c>
      <c r="E23" s="46"/>
      <c r="F23" s="44"/>
      <c r="G23" s="57"/>
      <c r="H23" s="58"/>
      <c r="I23" s="42" t="s">
        <v>95</v>
      </c>
      <c r="J23" s="46"/>
      <c r="K23" s="42"/>
      <c r="L23" s="46"/>
      <c r="M23" s="46"/>
    </row>
    <row r="24" spans="1:13" s="6" customFormat="1" ht="16.5" collapsed="1">
      <c r="A24" s="47"/>
      <c r="B24" s="220" t="s">
        <v>157</v>
      </c>
      <c r="C24" s="218"/>
      <c r="D24" s="218"/>
      <c r="E24" s="218"/>
      <c r="F24" s="218"/>
      <c r="G24" s="218"/>
      <c r="H24" s="218"/>
      <c r="I24" s="218"/>
      <c r="J24" s="218"/>
      <c r="K24" s="218"/>
      <c r="L24" s="218"/>
      <c r="M24" s="219"/>
    </row>
    <row r="25" spans="1:13" s="9" customFormat="1" ht="33.75" outlineLevel="1">
      <c r="A25" s="44" t="str">
        <f>IF(OR(B25&lt;&gt;"",D25&lt;&gt;""),"["&amp;TEXT($B$1,"##")&amp;"-"&amp;TEXT(COUNTA($D$11:D25),"##")&amp;"]","")</f>
        <v>[Tên chức năng-10]</v>
      </c>
      <c r="B25" s="221" t="s">
        <v>158</v>
      </c>
      <c r="C25" s="59" t="s">
        <v>151</v>
      </c>
      <c r="D25" s="59" t="s">
        <v>159</v>
      </c>
      <c r="E25" s="59"/>
      <c r="F25" s="59"/>
      <c r="G25" s="59"/>
      <c r="H25" s="59"/>
      <c r="I25" s="42" t="s">
        <v>95</v>
      </c>
      <c r="J25" s="59"/>
      <c r="K25" s="42"/>
      <c r="L25" s="59"/>
      <c r="M25" s="59"/>
    </row>
    <row r="26" spans="1:13" s="9" customFormat="1" ht="84.75" outlineLevel="1">
      <c r="A26" s="44" t="str">
        <f>IF(OR(B26&lt;&gt;"",D26&lt;&gt;""),"["&amp;TEXT($B$1,"##")&amp;"-"&amp;TEXT(COUNTA($D$11:D26),"##")&amp;"]","")</f>
        <v>[Tên chức năng-11]</v>
      </c>
      <c r="B26" s="222"/>
      <c r="C26" s="59" t="s">
        <v>160</v>
      </c>
      <c r="D26" s="59" t="s">
        <v>161</v>
      </c>
      <c r="E26" s="59"/>
      <c r="F26" s="59"/>
      <c r="G26" s="59"/>
      <c r="H26" s="59"/>
      <c r="I26" s="42" t="s">
        <v>95</v>
      </c>
      <c r="J26" s="59"/>
      <c r="K26" s="42"/>
      <c r="L26" s="59"/>
      <c r="M26" s="59"/>
    </row>
    <row r="27" spans="1:13" s="4" customFormat="1" ht="31.5" customHeight="1" outlineLevel="1">
      <c r="A27" s="44" t="str">
        <f>IF(OR(B27&lt;&gt;"",D27&lt;&gt;""),"["&amp;TEXT($B$1,"##")&amp;"-"&amp;TEXT(COUNTA($D$11:D27),"##")&amp;"]","")</f>
        <v>[Tên chức năng-12]</v>
      </c>
      <c r="B27" s="223"/>
      <c r="C27" s="46" t="s">
        <v>162</v>
      </c>
      <c r="D27" s="56" t="s">
        <v>163</v>
      </c>
      <c r="E27" s="46"/>
      <c r="F27" s="44"/>
      <c r="G27" s="57"/>
      <c r="H27" s="59"/>
      <c r="I27" s="42" t="s">
        <v>95</v>
      </c>
      <c r="J27" s="59"/>
      <c r="K27" s="42"/>
      <c r="L27" s="59"/>
      <c r="M27" s="46"/>
    </row>
    <row r="28" spans="1:13" s="6" customFormat="1" ht="16.5">
      <c r="A28" s="215" t="s">
        <v>164</v>
      </c>
      <c r="B28" s="209"/>
      <c r="C28" s="209"/>
      <c r="D28" s="209"/>
      <c r="E28" s="209"/>
      <c r="F28" s="209"/>
      <c r="G28" s="209"/>
      <c r="H28" s="209"/>
      <c r="I28" s="209"/>
      <c r="J28" s="209"/>
      <c r="K28" s="209"/>
      <c r="L28" s="209"/>
      <c r="M28" s="216"/>
    </row>
    <row r="29" spans="1:13" s="4" customFormat="1" ht="33.75" outlineLevel="1">
      <c r="A29" s="44" t="str">
        <f>IF(OR(B29&lt;&gt;"",D29&lt;&gt;""),"["&amp;TEXT($B$1,"##")&amp;"-"&amp;TEXT(COUNTA($D$11:D29),"##")&amp;"]","")</f>
        <v>[Tên chức năng-13]</v>
      </c>
      <c r="B29" s="60" t="s">
        <v>165</v>
      </c>
      <c r="C29" s="46" t="s">
        <v>166</v>
      </c>
      <c r="D29" s="56" t="s">
        <v>163</v>
      </c>
      <c r="E29" s="61"/>
      <c r="F29" s="44"/>
      <c r="G29" s="62"/>
      <c r="H29" s="59"/>
      <c r="I29" s="42" t="s">
        <v>95</v>
      </c>
      <c r="J29" s="59"/>
      <c r="K29" s="42"/>
      <c r="L29" s="59"/>
      <c r="M29" s="46"/>
    </row>
    <row r="30" spans="1:13" s="4" customFormat="1" ht="33.75" outlineLevel="1">
      <c r="A30" s="44" t="str">
        <f>IF(OR(B30&lt;&gt;"",D30&lt;&gt;""),"["&amp;TEXT($B$1,"##")&amp;"-"&amp;TEXT(COUNTA($D$11:D30),"##")&amp;"]","")</f>
        <v>[Tên chức năng-14]</v>
      </c>
      <c r="B30" s="60" t="s">
        <v>167</v>
      </c>
      <c r="C30" s="46" t="s">
        <v>168</v>
      </c>
      <c r="D30" s="56" t="s">
        <v>169</v>
      </c>
      <c r="E30" s="61"/>
      <c r="F30" s="44"/>
      <c r="G30" s="62"/>
      <c r="H30" s="59"/>
      <c r="I30" s="42" t="s">
        <v>95</v>
      </c>
      <c r="J30" s="59"/>
      <c r="K30" s="42"/>
      <c r="L30" s="59"/>
      <c r="M30" s="46"/>
    </row>
    <row r="31" spans="1:13" s="4" customFormat="1" ht="33.75" outlineLevel="1">
      <c r="A31" s="44" t="str">
        <f>IF(OR(B31&lt;&gt;"",D31&lt;&gt;""),"["&amp;TEXT($B$1,"##")&amp;"-"&amp;TEXT(COUNTA($D$11:D31),"##")&amp;"]","")</f>
        <v>[Tên chức năng-15]</v>
      </c>
      <c r="B31" s="60" t="s">
        <v>170</v>
      </c>
      <c r="C31" s="46" t="s">
        <v>166</v>
      </c>
      <c r="D31" s="56" t="s">
        <v>163</v>
      </c>
      <c r="E31" s="61"/>
      <c r="F31" s="44"/>
      <c r="G31" s="62"/>
      <c r="H31" s="59"/>
      <c r="I31" s="42" t="s">
        <v>95</v>
      </c>
      <c r="J31" s="59"/>
      <c r="K31" s="42"/>
      <c r="L31" s="59"/>
      <c r="M31" s="46"/>
    </row>
    <row r="32" spans="1:13" s="6" customFormat="1" ht="16.5">
      <c r="A32" s="208" t="s">
        <v>171</v>
      </c>
      <c r="B32" s="209"/>
      <c r="C32" s="210"/>
      <c r="D32" s="210"/>
      <c r="E32" s="210"/>
      <c r="F32" s="210"/>
      <c r="G32" s="210"/>
      <c r="H32" s="210"/>
      <c r="I32" s="210"/>
      <c r="J32" s="210"/>
      <c r="K32" s="210"/>
      <c r="L32" s="210"/>
      <c r="M32" s="211"/>
    </row>
    <row r="33" spans="1:13" s="4" customFormat="1" ht="51" outlineLevel="1">
      <c r="A33" s="44" t="str">
        <f>IF(OR(B33&lt;&gt;"",D33&lt;&gt;""),"["&amp;TEXT($B$1,"##")&amp;"-"&amp;TEXT(COUNTA($D$11:D33),"##")&amp;"]","")</f>
        <v>[Tên chức năng-16]</v>
      </c>
      <c r="B33" s="45" t="s">
        <v>172</v>
      </c>
      <c r="C33" s="46" t="s">
        <v>173</v>
      </c>
      <c r="D33" s="56" t="s">
        <v>174</v>
      </c>
      <c r="E33" s="46"/>
      <c r="F33" s="44"/>
      <c r="G33" s="62"/>
      <c r="H33" s="59"/>
      <c r="I33" s="42" t="s">
        <v>95</v>
      </c>
      <c r="J33" s="59"/>
      <c r="K33" s="42"/>
      <c r="L33" s="59"/>
      <c r="M33" s="46"/>
    </row>
    <row r="34" spans="1:13" s="4" customFormat="1" ht="33.75" outlineLevel="1">
      <c r="A34" s="44" t="str">
        <f>IF(OR(B34&lt;&gt;"",D34&lt;&gt;""),"["&amp;TEXT($B$1,"##")&amp;"-"&amp;TEXT(COUNTA($D$11:D34),"##")&amp;"]","")</f>
        <v>[Tên chức năng-17]</v>
      </c>
      <c r="B34" s="45" t="s">
        <v>175</v>
      </c>
      <c r="C34" s="46" t="s">
        <v>176</v>
      </c>
      <c r="D34" s="56" t="s">
        <v>177</v>
      </c>
      <c r="E34" s="46"/>
      <c r="F34" s="44"/>
      <c r="G34" s="62"/>
      <c r="H34" s="59"/>
      <c r="I34" s="42" t="s">
        <v>95</v>
      </c>
      <c r="J34" s="59"/>
      <c r="K34" s="42"/>
      <c r="L34" s="59"/>
      <c r="M34" s="46"/>
    </row>
  </sheetData>
  <mergeCells count="25">
    <mergeCell ref="A9:A10"/>
    <mergeCell ref="B9:B10"/>
    <mergeCell ref="C9:C10"/>
    <mergeCell ref="B1:G1"/>
    <mergeCell ref="B2:G2"/>
    <mergeCell ref="B3:G3"/>
    <mergeCell ref="B4:G4"/>
    <mergeCell ref="D5:F5"/>
    <mergeCell ref="A5:C5"/>
    <mergeCell ref="A32:M32"/>
    <mergeCell ref="D9:D10"/>
    <mergeCell ref="E9:E10"/>
    <mergeCell ref="F9:F10"/>
    <mergeCell ref="A28:M28"/>
    <mergeCell ref="B14:M14"/>
    <mergeCell ref="B19:M19"/>
    <mergeCell ref="B24:M24"/>
    <mergeCell ref="B25:B27"/>
    <mergeCell ref="A12:M12"/>
    <mergeCell ref="A13:M13"/>
    <mergeCell ref="G9:G10"/>
    <mergeCell ref="H9:H10"/>
    <mergeCell ref="I9:J9"/>
    <mergeCell ref="K9:L9"/>
    <mergeCell ref="M9:M10"/>
  </mergeCells>
  <conditionalFormatting sqref="G20:H23 G29:G31">
    <cfRule type="containsText" dxfId="39" priority="301" operator="containsText" text="Không test">
      <formula>NOT(ISERROR(SEARCH(("Không test"),(G20))))</formula>
    </cfRule>
    <cfRule type="containsText" dxfId="38" priority="302" operator="containsText" text="Chưa test">
      <formula>NOT(ISERROR(SEARCH(("Chưa test"),(G20))))</formula>
    </cfRule>
    <cfRule type="containsText" dxfId="37" priority="303" operator="containsText" text="Không đạt">
      <formula>NOT(ISERROR(SEARCH(("Không đạt"),(G20))))</formula>
    </cfRule>
    <cfRule type="endsWith" dxfId="36" priority="304" operator="endsWith" text="Đạt">
      <formula>RIGHT((G20),LEN("Đạt"))=("Đạt")</formula>
    </cfRule>
  </conditionalFormatting>
  <conditionalFormatting sqref="G27">
    <cfRule type="containsText" dxfId="35" priority="297" operator="containsText" text="Không test">
      <formula>NOT(ISERROR(SEARCH(("Không test"),(G27))))</formula>
    </cfRule>
    <cfRule type="containsText" dxfId="34" priority="298" operator="containsText" text="Chưa test">
      <formula>NOT(ISERROR(SEARCH(("Chưa test"),(G27))))</formula>
    </cfRule>
    <cfRule type="containsText" dxfId="33" priority="299" operator="containsText" text="Không đạt">
      <formula>NOT(ISERROR(SEARCH(("Không đạt"),(G27))))</formula>
    </cfRule>
    <cfRule type="endsWith" dxfId="32" priority="300" operator="endsWith" text="Đạt">
      <formula>RIGHT((G27),LEN("Đạt"))=("Đạt")</formula>
    </cfRule>
  </conditionalFormatting>
  <conditionalFormatting sqref="G33:G34">
    <cfRule type="containsText" dxfId="31" priority="249" operator="containsText" text="Không test">
      <formula>NOT(ISERROR(SEARCH(("Không test"),(G33))))</formula>
    </cfRule>
    <cfRule type="containsText" dxfId="30" priority="250" operator="containsText" text="Chưa test">
      <formula>NOT(ISERROR(SEARCH(("Chưa test"),(G33))))</formula>
    </cfRule>
    <cfRule type="containsText" dxfId="29" priority="251" operator="containsText" text="Không đạt">
      <formula>NOT(ISERROR(SEARCH(("Không đạt"),(G33))))</formula>
    </cfRule>
    <cfRule type="endsWith" dxfId="28" priority="252" operator="endsWith" text="Đạt">
      <formula>RIGHT((G33),LEN("Đạt"))=("Đạt")</formula>
    </cfRule>
  </conditionalFormatting>
  <conditionalFormatting sqref="I11 I29:I31 K29:K31">
    <cfRule type="cellIs" dxfId="27" priority="71" operator="equal">
      <formula>"Pass"</formula>
    </cfRule>
    <cfRule type="cellIs" dxfId="26" priority="72" operator="equal">
      <formula>"Fail"</formula>
    </cfRule>
  </conditionalFormatting>
  <conditionalFormatting sqref="I15:I18">
    <cfRule type="cellIs" dxfId="25" priority="69" operator="equal">
      <formula>"Pass"</formula>
    </cfRule>
    <cfRule type="cellIs" dxfId="24" priority="70" operator="equal">
      <formula>"Fail"</formula>
    </cfRule>
  </conditionalFormatting>
  <conditionalFormatting sqref="I20:I23">
    <cfRule type="cellIs" dxfId="23" priority="67" operator="equal">
      <formula>"Pass"</formula>
    </cfRule>
    <cfRule type="cellIs" dxfId="22" priority="68" operator="equal">
      <formula>"Fail"</formula>
    </cfRule>
  </conditionalFormatting>
  <conditionalFormatting sqref="I25:I27">
    <cfRule type="cellIs" dxfId="21" priority="65" operator="equal">
      <formula>"Pass"</formula>
    </cfRule>
    <cfRule type="cellIs" dxfId="20" priority="66" operator="equal">
      <formula>"Fail"</formula>
    </cfRule>
  </conditionalFormatting>
  <conditionalFormatting sqref="I33:I34">
    <cfRule type="cellIs" dxfId="19" priority="61" operator="equal">
      <formula>"Pass"</formula>
    </cfRule>
    <cfRule type="cellIs" dxfId="18" priority="62" operator="equal">
      <formula>"Fail"</formula>
    </cfRule>
  </conditionalFormatting>
  <conditionalFormatting sqref="K11">
    <cfRule type="cellIs" dxfId="17" priority="29" operator="equal">
      <formula>"Pass"</formula>
    </cfRule>
    <cfRule type="cellIs" dxfId="16" priority="30" operator="equal">
      <formula>"Fail"</formula>
    </cfRule>
  </conditionalFormatting>
  <conditionalFormatting sqref="K15:K18">
    <cfRule type="cellIs" dxfId="15" priority="27" operator="equal">
      <formula>"Pass"</formula>
    </cfRule>
    <cfRule type="cellIs" dxfId="14" priority="28" operator="equal">
      <formula>"Fail"</formula>
    </cfRule>
  </conditionalFormatting>
  <conditionalFormatting sqref="K20:K23">
    <cfRule type="cellIs" dxfId="13" priority="25" operator="equal">
      <formula>"Pass"</formula>
    </cfRule>
    <cfRule type="cellIs" dxfId="12" priority="26" operator="equal">
      <formula>"Fail"</formula>
    </cfRule>
  </conditionalFormatting>
  <conditionalFormatting sqref="K25:K27">
    <cfRule type="cellIs" dxfId="11" priority="23" operator="equal">
      <formula>"Pass"</formula>
    </cfRule>
    <cfRule type="cellIs" dxfId="10" priority="24" operator="equal">
      <formula>"Fail"</formula>
    </cfRule>
  </conditionalFormatting>
  <conditionalFormatting sqref="K33:K34">
    <cfRule type="cellIs" dxfId="9" priority="19" operator="equal">
      <formula>"Pass"</formula>
    </cfRule>
    <cfRule type="cellIs" dxfId="8" priority="20" operator="equal">
      <formula>"Fail"</formula>
    </cfRule>
  </conditionalFormatting>
  <dataValidations count="5">
    <dataValidation type="list" allowBlank="1" showInputMessage="1" showErrorMessage="1" sqref="I1:I4 I8:I10" xr:uid="{00000000-0002-0000-0200-000000000000}">
      <formula1>$D$6:$F$6</formula1>
    </dataValidation>
    <dataValidation allowBlank="1" showInputMessage="1" showErrorMessage="1" sqref="G33:G34 G29:G31" xr:uid="{00000000-0002-0000-0200-000001000000}"/>
    <dataValidation type="list" allowBlank="1" showErrorMessage="1" sqref="G20:H23" xr:uid="{00000000-0002-0000-0200-000002000000}">
      <formula1>"Đạt,Không đạt,Chưa test,Không test"</formula1>
    </dataValidation>
    <dataValidation type="list" allowBlank="1" showInputMessage="1" showErrorMessage="1" sqref="K15:K18 K20:K23 I15:I18 I11 I20:I23 K11 I25:I27 K25:K27 I33:I34 K33:K34 I29:I31 K29:K31" xr:uid="{00000000-0002-0000-0200-000003000000}">
      <formula1>"Pass, Fail, N/A"</formula1>
    </dataValidation>
    <dataValidation type="list" allowBlank="1" showInputMessage="1" showErrorMessage="1" sqref="J25:J27 J29:J31 J33:J34 L25:L27 L29:L31 L33:L34" xr:uid="{7404D0C7-7224-46AE-AD3F-DEA7908833D5}">
      <formula1>$I$5:$M$5</formula1>
    </dataValidation>
  </dataValidations>
  <hyperlinks>
    <hyperlink ref="G15" r:id="rId1" xr:uid="{00000000-0004-0000-02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664032B-899E-4702-8A82-80EAE748B69B}">
          <x14:formula1>
            <xm:f>'Test Result'!$C$23:$F$23</xm:f>
          </x14:formula1>
          <xm:sqref>H25:H27 H29:H31 H33:H34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1143-6AAA-44E1-9D8A-766E722B21B0}">
  <dimension ref="A1:M15"/>
  <sheetViews>
    <sheetView showGridLines="0" tabSelected="1" topLeftCell="A7" zoomScaleNormal="100" workbookViewId="0">
      <selection activeCell="L15" sqref="L15"/>
    </sheetView>
  </sheetViews>
  <sheetFormatPr defaultRowHeight="14.45"/>
  <cols>
    <col min="1" max="1" width="15.42578125" customWidth="1"/>
    <col min="2" max="2" width="32.5703125" customWidth="1"/>
    <col min="3" max="3" width="41.140625" customWidth="1"/>
    <col min="4" max="4" width="43.140625" customWidth="1"/>
    <col min="5" max="5" width="14" customWidth="1"/>
    <col min="6" max="6" width="15.140625" customWidth="1"/>
    <col min="7" max="7" width="12" customWidth="1"/>
    <col min="8" max="8" width="24.42578125" bestFit="1" customWidth="1"/>
    <col min="9" max="9" width="9.42578125" bestFit="1" customWidth="1"/>
    <col min="10" max="10" width="11.85546875" bestFit="1" customWidth="1"/>
    <col min="11" max="11" width="9.42578125" bestFit="1" customWidth="1"/>
    <col min="12" max="12" width="12.28515625" bestFit="1" customWidth="1"/>
    <col min="13" max="13" width="11" bestFit="1" customWidth="1"/>
  </cols>
  <sheetData>
    <row r="1" spans="1:13" s="1" customFormat="1" ht="16.5">
      <c r="A1" s="10" t="s">
        <v>90</v>
      </c>
      <c r="B1" s="232" t="s">
        <v>98</v>
      </c>
      <c r="C1" s="233"/>
      <c r="D1" s="234"/>
      <c r="E1" s="234"/>
      <c r="F1" s="234"/>
      <c r="G1" s="235"/>
      <c r="H1" s="11"/>
      <c r="I1" s="12"/>
      <c r="J1" s="13"/>
      <c r="K1" s="13"/>
      <c r="L1" s="13"/>
      <c r="M1" s="13"/>
    </row>
    <row r="2" spans="1:13" s="1" customFormat="1" ht="33">
      <c r="A2" s="14" t="s">
        <v>107</v>
      </c>
      <c r="B2" s="236" t="s">
        <v>178</v>
      </c>
      <c r="C2" s="237"/>
      <c r="D2" s="238"/>
      <c r="E2" s="238"/>
      <c r="F2" s="238"/>
      <c r="G2" s="239"/>
      <c r="H2" s="11"/>
      <c r="I2" s="12"/>
      <c r="J2" s="13"/>
      <c r="K2" s="13"/>
      <c r="L2" s="13"/>
      <c r="M2" s="13"/>
    </row>
    <row r="3" spans="1:13" s="1" customFormat="1" ht="16.5">
      <c r="A3" s="15" t="s">
        <v>85</v>
      </c>
      <c r="B3" s="240" t="s">
        <v>108</v>
      </c>
      <c r="C3" s="241"/>
      <c r="D3" s="242"/>
      <c r="E3" s="242"/>
      <c r="F3" s="242"/>
      <c r="G3" s="243"/>
      <c r="H3" s="16"/>
      <c r="I3" s="12"/>
      <c r="J3" s="13"/>
      <c r="K3" s="13"/>
      <c r="L3" s="13"/>
      <c r="M3" s="13"/>
    </row>
    <row r="4" spans="1:13" s="1" customFormat="1" ht="33.6" thickBot="1">
      <c r="A4" s="17" t="s">
        <v>109</v>
      </c>
      <c r="B4" s="244" t="s">
        <v>110</v>
      </c>
      <c r="C4" s="245"/>
      <c r="D4" s="245"/>
      <c r="E4" s="245"/>
      <c r="F4" s="245"/>
      <c r="G4" s="246"/>
      <c r="H4" s="16"/>
      <c r="I4" s="12"/>
      <c r="J4" s="13"/>
      <c r="K4" s="13"/>
      <c r="L4" s="13"/>
      <c r="M4" s="13"/>
    </row>
    <row r="5" spans="1:13" s="1" customFormat="1" ht="16.5">
      <c r="A5" s="247" t="s">
        <v>111</v>
      </c>
      <c r="B5" s="247"/>
      <c r="C5" s="248"/>
      <c r="D5" s="247" t="s">
        <v>112</v>
      </c>
      <c r="E5" s="247"/>
      <c r="F5" s="248"/>
      <c r="G5" s="18"/>
      <c r="H5" s="19" t="s">
        <v>113</v>
      </c>
      <c r="I5" s="20" t="s">
        <v>114</v>
      </c>
      <c r="J5" s="20" t="s">
        <v>115</v>
      </c>
      <c r="K5" s="20" t="s">
        <v>116</v>
      </c>
      <c r="L5" s="20" t="s">
        <v>117</v>
      </c>
      <c r="M5" s="21" t="s">
        <v>118</v>
      </c>
    </row>
    <row r="6" spans="1:13" s="1" customFormat="1" ht="33">
      <c r="A6" s="22" t="s">
        <v>95</v>
      </c>
      <c r="B6" s="23" t="s">
        <v>96</v>
      </c>
      <c r="C6" s="23" t="s">
        <v>97</v>
      </c>
      <c r="D6" s="24" t="s">
        <v>95</v>
      </c>
      <c r="E6" s="24" t="s">
        <v>96</v>
      </c>
      <c r="F6" s="25" t="s">
        <v>97</v>
      </c>
      <c r="G6" s="26" t="s">
        <v>119</v>
      </c>
      <c r="H6" s="27">
        <v>1</v>
      </c>
      <c r="I6" s="28">
        <f>COUNTIF(J$14:J$515,"Open")</f>
        <v>0</v>
      </c>
      <c r="J6" s="28">
        <f>COUNTIF(J$14:J$515,"Re-Open")</f>
        <v>0</v>
      </c>
      <c r="K6" s="28">
        <f>COUNTIF(J$14:J$515,"Closed")</f>
        <v>0</v>
      </c>
      <c r="L6" s="28">
        <f>COUNTIF(J$14:J$515,"Unconfirm")</f>
        <v>0</v>
      </c>
      <c r="M6" s="29">
        <f>COUNTIF(J$14:J$515,"Resolved")</f>
        <v>0</v>
      </c>
    </row>
    <row r="7" spans="1:13" s="1" customFormat="1" ht="17.100000000000001" thickBot="1">
      <c r="A7" s="30">
        <f>COUNTIF(I$14:I$490,"Pass")</f>
        <v>1</v>
      </c>
      <c r="B7" s="31">
        <f>COUNTIF(I$14:I$490,"Fail")</f>
        <v>1</v>
      </c>
      <c r="C7" s="31">
        <f>COUNTIF(I$14:I$490,"N/A")</f>
        <v>0</v>
      </c>
      <c r="D7" s="31">
        <f>COUNTIF(K$14:K$490,"Pass")</f>
        <v>0</v>
      </c>
      <c r="E7" s="31">
        <f>COUNTIF(K$14:K$515,"Fail")</f>
        <v>0</v>
      </c>
      <c r="F7" s="31">
        <f>COUNTIF(K$14:K$515,"N/A")</f>
        <v>0</v>
      </c>
      <c r="G7" s="32">
        <f>COUNTA(D14:D286)</f>
        <v>2</v>
      </c>
      <c r="H7" s="33">
        <v>2</v>
      </c>
      <c r="I7" s="34">
        <f>COUNTIF(K$14:K$515,"Open")</f>
        <v>0</v>
      </c>
      <c r="J7" s="34">
        <f>COUNTIF(L$14:L$515,"Re-Open")</f>
        <v>0</v>
      </c>
      <c r="K7" s="34">
        <f>COUNTIF(L$14:L$515,"Closed")</f>
        <v>0</v>
      </c>
      <c r="L7" s="34">
        <f>COUNTIF(L$14:L$515,"Unconfirm")</f>
        <v>0</v>
      </c>
      <c r="M7" s="35">
        <f>COUNTIF(L$14:L$515,"Resolved")</f>
        <v>0</v>
      </c>
    </row>
    <row r="8" spans="1:13" s="1" customFormat="1" ht="16.5">
      <c r="A8" s="13"/>
      <c r="B8" s="13"/>
      <c r="C8" s="13"/>
      <c r="D8" s="13"/>
      <c r="E8" s="13"/>
      <c r="F8" s="13"/>
      <c r="G8" s="12">
        <f>G7-A7-B7-C7</f>
        <v>0</v>
      </c>
      <c r="H8" s="13"/>
      <c r="I8" s="12"/>
      <c r="J8" s="13"/>
      <c r="K8" s="13"/>
      <c r="L8" s="13"/>
      <c r="M8" s="13"/>
    </row>
    <row r="9" spans="1:13" s="2" customFormat="1" ht="16.5">
      <c r="A9" s="212" t="s">
        <v>120</v>
      </c>
      <c r="B9" s="212" t="s">
        <v>121</v>
      </c>
      <c r="C9" s="212" t="s">
        <v>122</v>
      </c>
      <c r="D9" s="212" t="s">
        <v>123</v>
      </c>
      <c r="E9" s="212" t="s">
        <v>124</v>
      </c>
      <c r="F9" s="212" t="s">
        <v>125</v>
      </c>
      <c r="G9" s="212" t="s">
        <v>126</v>
      </c>
      <c r="H9" s="212" t="s">
        <v>64</v>
      </c>
      <c r="I9" s="212" t="s">
        <v>127</v>
      </c>
      <c r="J9" s="213"/>
      <c r="K9" s="212" t="s">
        <v>128</v>
      </c>
      <c r="L9" s="213"/>
      <c r="M9" s="212" t="s">
        <v>129</v>
      </c>
    </row>
    <row r="10" spans="1:13" s="2" customFormat="1" ht="33">
      <c r="A10" s="213"/>
      <c r="B10" s="213"/>
      <c r="C10" s="213"/>
      <c r="D10" s="213"/>
      <c r="E10" s="212"/>
      <c r="F10" s="214"/>
      <c r="G10" s="214"/>
      <c r="H10" s="213"/>
      <c r="I10" s="36" t="s">
        <v>130</v>
      </c>
      <c r="J10" s="36" t="s">
        <v>131</v>
      </c>
      <c r="K10" s="36" t="s">
        <v>130</v>
      </c>
      <c r="L10" s="36" t="s">
        <v>131</v>
      </c>
      <c r="M10" s="213"/>
    </row>
    <row r="11" spans="1:13" s="3" customFormat="1" ht="16.5">
      <c r="A11" s="257" t="s">
        <v>179</v>
      </c>
      <c r="B11" s="258"/>
      <c r="C11" s="258"/>
      <c r="D11" s="258"/>
      <c r="E11" s="258"/>
      <c r="F11" s="258"/>
      <c r="G11" s="258"/>
      <c r="H11" s="258"/>
      <c r="I11" s="258"/>
      <c r="J11" s="258"/>
      <c r="K11" s="258"/>
      <c r="L11" s="258"/>
      <c r="M11" s="258"/>
    </row>
    <row r="12" spans="1:13" s="3" customFormat="1" ht="105" customHeight="1">
      <c r="A12" s="249" t="s">
        <v>180</v>
      </c>
      <c r="B12" s="250"/>
      <c r="C12" s="250"/>
      <c r="D12" s="251"/>
      <c r="E12" s="252" t="s">
        <v>181</v>
      </c>
      <c r="F12" s="253"/>
      <c r="G12" s="253"/>
      <c r="H12" s="253"/>
      <c r="I12" s="253"/>
      <c r="J12" s="253"/>
      <c r="K12" s="253"/>
      <c r="L12" s="253"/>
      <c r="M12" s="254"/>
    </row>
    <row r="13" spans="1:13" s="1" customFormat="1" ht="16.5">
      <c r="A13" s="255" t="s">
        <v>182</v>
      </c>
      <c r="B13" s="256"/>
      <c r="C13" s="256"/>
      <c r="D13" s="256"/>
      <c r="E13" s="256"/>
      <c r="F13" s="256"/>
      <c r="G13" s="256"/>
      <c r="H13" s="256"/>
      <c r="I13" s="256"/>
      <c r="J13" s="256"/>
      <c r="K13" s="256"/>
      <c r="L13" s="256"/>
      <c r="M13" s="256"/>
    </row>
    <row r="14" spans="1:13" s="4" customFormat="1" ht="33.75">
      <c r="A14" s="37" t="str">
        <f>IF(OR(B14&lt;&gt;"",D14&lt;&gt;""),"["&amp;TEXT($B$1,"##")&amp;"-"&amp;TEXT(COUNTA($D$13:D14),"##")&amp;"]","")</f>
        <v>[Tên hàm-1]</v>
      </c>
      <c r="B14" s="38" t="s">
        <v>183</v>
      </c>
      <c r="C14" s="38" t="s">
        <v>184</v>
      </c>
      <c r="D14" s="39" t="s">
        <v>185</v>
      </c>
      <c r="E14" s="38"/>
      <c r="F14" s="40"/>
      <c r="G14" s="41"/>
      <c r="H14" s="59"/>
      <c r="I14" s="42" t="s">
        <v>95</v>
      </c>
      <c r="J14" s="59"/>
      <c r="K14" s="42"/>
      <c r="L14" s="59"/>
      <c r="M14" s="38"/>
    </row>
    <row r="15" spans="1:13" s="4" customFormat="1" ht="33.75">
      <c r="A15" s="37" t="str">
        <f>IF(OR(B15&lt;&gt;"",D15&lt;&gt;""),"["&amp;TEXT($B$1,"##")&amp;"-"&amp;TEXT(COUNTA($D$13:D15),"##")&amp;"]","")</f>
        <v>[Tên hàm-2]</v>
      </c>
      <c r="B15" s="38" t="s">
        <v>186</v>
      </c>
      <c r="C15" s="38" t="s">
        <v>184</v>
      </c>
      <c r="D15" s="39" t="s">
        <v>187</v>
      </c>
      <c r="E15" s="38"/>
      <c r="F15" s="40"/>
      <c r="G15" s="43"/>
      <c r="H15" s="59"/>
      <c r="I15" s="42" t="s">
        <v>96</v>
      </c>
      <c r="J15" s="59"/>
      <c r="K15" s="42"/>
      <c r="L15" s="59"/>
      <c r="M15" s="38"/>
    </row>
  </sheetData>
  <mergeCells count="21">
    <mergeCell ref="A12:D12"/>
    <mergeCell ref="E12:M12"/>
    <mergeCell ref="A13:M13"/>
    <mergeCell ref="G9:G10"/>
    <mergeCell ref="H9:H10"/>
    <mergeCell ref="I9:J9"/>
    <mergeCell ref="K9:L9"/>
    <mergeCell ref="M9:M10"/>
    <mergeCell ref="A11:M11"/>
    <mergeCell ref="A9:A10"/>
    <mergeCell ref="B9:B10"/>
    <mergeCell ref="C9:C10"/>
    <mergeCell ref="D9:D10"/>
    <mergeCell ref="E9:E10"/>
    <mergeCell ref="F9:F10"/>
    <mergeCell ref="B1:G1"/>
    <mergeCell ref="B2:G2"/>
    <mergeCell ref="B3:G3"/>
    <mergeCell ref="B4:G4"/>
    <mergeCell ref="A5:C5"/>
    <mergeCell ref="D5:F5"/>
  </mergeCells>
  <conditionalFormatting sqref="G15">
    <cfRule type="containsText" dxfId="7" priority="237" operator="containsText" text="Không test">
      <formula>NOT(ISERROR(SEARCH(("Không test"),(G15))))</formula>
    </cfRule>
    <cfRule type="containsText" dxfId="6" priority="238" operator="containsText" text="Chưa test">
      <formula>NOT(ISERROR(SEARCH(("Chưa test"),(G15))))</formula>
    </cfRule>
    <cfRule type="containsText" dxfId="5" priority="239" operator="containsText" text="Không đạt">
      <formula>NOT(ISERROR(SEARCH(("Không đạt"),(G15))))</formula>
    </cfRule>
    <cfRule type="endsWith" dxfId="4" priority="240" operator="endsWith" text="Đạt">
      <formula>RIGHT((G15),LEN("Đạt"))=("Đạt")</formula>
    </cfRule>
  </conditionalFormatting>
  <conditionalFormatting sqref="I14:I15">
    <cfRule type="cellIs" dxfId="3" priority="83" operator="equal">
      <formula>"Pass"</formula>
    </cfRule>
    <cfRule type="cellIs" dxfId="2" priority="84" operator="equal">
      <formula>"Fail"</formula>
    </cfRule>
  </conditionalFormatting>
  <conditionalFormatting sqref="K14:K15">
    <cfRule type="cellIs" dxfId="1" priority="41" operator="equal">
      <formula>"Pass"</formula>
    </cfRule>
    <cfRule type="cellIs" dxfId="0" priority="42" operator="equal">
      <formula>"Fail"</formula>
    </cfRule>
  </conditionalFormatting>
  <dataValidations count="4">
    <dataValidation type="list" allowBlank="1" showInputMessage="1" showErrorMessage="1" sqref="I14:I15 K14:K15" xr:uid="{2801FC7D-2260-4B81-8C91-E88D07358163}">
      <formula1>"Pass, Fail, N/A"</formula1>
    </dataValidation>
    <dataValidation allowBlank="1" showInputMessage="1" showErrorMessage="1" sqref="G15 G11" xr:uid="{ADD3F76F-99A2-4A17-9DFF-F75D49D90801}"/>
    <dataValidation type="list" allowBlank="1" showInputMessage="1" showErrorMessage="1" sqref="I1:I4 I8:I11 I13" xr:uid="{EE3F15B4-4BDD-432C-98BC-652BD80B69FF}">
      <formula1>$D$6:$F$6</formula1>
    </dataValidation>
    <dataValidation type="list" allowBlank="1" showInputMessage="1" showErrorMessage="1" sqref="J14:J15 L14:L15" xr:uid="{BA6D5246-FAF3-45BB-A86E-252593C9BE07}">
      <formula1>$I$5:$M$5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0B9F76A-F7FA-41AC-B4D7-302D00BF0BEC}">
          <x14:formula1>
            <xm:f>'Test Result'!$C$23:$F$23</xm:f>
          </x14:formula1>
          <xm:sqref>H14:H15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536AD9F5BD3843A3BF0143AC94EA4D" ma:contentTypeVersion="3" ma:contentTypeDescription="Create a new document." ma:contentTypeScope="" ma:versionID="079ab39e9bdf38fb7240257bb4e16fb4">
  <xsd:schema xmlns:xsd="http://www.w3.org/2001/XMLSchema" xmlns:xs="http://www.w3.org/2001/XMLSchema" xmlns:p="http://schemas.microsoft.com/office/2006/metadata/properties" xmlns:ns2="274ea1d7-f78b-4cd1-8368-79fd81409e7c" targetNamespace="http://schemas.microsoft.com/office/2006/metadata/properties" ma:root="true" ma:fieldsID="d389f1b503e5b23429cc9a0c59bdc425" ns2:_="">
    <xsd:import namespace="274ea1d7-f78b-4cd1-8368-79fd81409e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4ea1d7-f78b-4cd1-8368-79fd81409e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A0BD15-9B90-4E83-A1D9-EE32D74EE8DA}"/>
</file>

<file path=customXml/itemProps2.xml><?xml version="1.0" encoding="utf-8"?>
<ds:datastoreItem xmlns:ds="http://schemas.openxmlformats.org/officeDocument/2006/customXml" ds:itemID="{6B267456-DC3E-4669-8122-E7AAB42CE4B8}"/>
</file>

<file path=customXml/itemProps3.xml><?xml version="1.0" encoding="utf-8"?>
<ds:datastoreItem xmlns:ds="http://schemas.openxmlformats.org/officeDocument/2006/customXml" ds:itemID="{3D88D155-1B25-4B40-ACFF-EB52723F9E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Nguyễn Thị Thu Hoài</cp:lastModifiedBy>
  <cp:revision/>
  <dcterms:created xsi:type="dcterms:W3CDTF">2023-12-11T04:01:45Z</dcterms:created>
  <dcterms:modified xsi:type="dcterms:W3CDTF">2026-03-24T09:13:23Z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0x0101000B536AD9F5BD3843A3BF0143AC94EA4D</vt:lpwstr>
  </property>
</Properties>
</file>