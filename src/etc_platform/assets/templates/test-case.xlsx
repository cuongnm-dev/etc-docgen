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bìa" sheetId="1" state="visible" r:id="rId1"/>
    <sheet xmlns:r="http://schemas.openxmlformats.org/officeDocument/2006/relationships" name="Hướng dẫn" sheetId="2" state="visible" r:id="rId2"/>
    <sheet xmlns:r="http://schemas.openxmlformats.org/officeDocument/2006/relationships" name="Tổng quan" sheetId="3" state="visible" r:id="rId3"/>
    <sheet xmlns:r="http://schemas.openxmlformats.org/officeDocument/2006/relationships" name="Tổng hợp kết quả" sheetId="4" state="visible" r:id="rId4"/>
    <sheet xmlns:r="http://schemas.openxmlformats.org/officeDocument/2006/relationships" name="Tên chức năng" sheetId="5" state="visible" r:id="rId5"/>
    <sheet xmlns:r="http://schemas.openxmlformats.org/officeDocument/2006/relationships" name="Tên API" sheetId="6" state="visible" r:id="rId6"/>
    <sheet xmlns:r="http://schemas.openxmlformats.org/officeDocument/2006/relationships" name="Dữ liệu test" sheetId="7" state="visible" r:id="rId7"/>
    <sheet xmlns:r="http://schemas.openxmlformats.org/officeDocument/2006/relationships" name="_Tra cứu" sheetId="8" state="hidden" r:id="rId8"/>
  </sheets>
  <definedNames>
    <definedName name="_xlnm._FilterDatabase" localSheetId="4" hidden="1">'Tên chức năng'!$A$12:$N$12</definedName>
    <definedName name="_xlnm.Print_Titles" localSheetId="4">'Tên chức năng'!$1:$12</definedName>
    <definedName name="_xlnm._FilterDatabase" localSheetId="5" hidden="1">'Tên API'!$A$12:$N$12</definedName>
    <definedName name="_xlnm.Print_Titles" localSheetId="5">'Tên API'!$1:$12</definedName>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Times New Roman"/>
      <b val="1"/>
      <color rgb="001F4E78"/>
      <sz val="20"/>
    </font>
    <font>
      <name val="Times New Roman"/>
      <i val="1"/>
      <sz val="14"/>
    </font>
    <font>
      <name val="Times New Roman"/>
      <i val="1"/>
      <color rgb="00666666"/>
      <sz val="10"/>
    </font>
    <font>
      <name val="Times New Roman"/>
      <b val="1"/>
      <color rgb="001F4E78"/>
      <sz val="12"/>
    </font>
    <font>
      <name val="Times New Roman"/>
      <sz val="11"/>
    </font>
    <font>
      <name val="Times New Roman"/>
      <b val="1"/>
      <sz val="11"/>
    </font>
    <font>
      <name val="Times New Roman"/>
      <b val="1"/>
      <color rgb="00FFFFFF"/>
      <sz val="11"/>
    </font>
    <font>
      <name val="Times New Roman"/>
      <b val="1"/>
      <color rgb="001F4E78"/>
      <sz val="16"/>
    </font>
    <font>
      <name val="Times New Roman"/>
      <b val="1"/>
      <color rgb="001F4E78"/>
      <sz val="13"/>
    </font>
    <font>
      <name val="Times New Roman"/>
      <b val="1"/>
      <color rgb="00FFFFFF"/>
      <sz val="14"/>
    </font>
    <font>
      <name val="Times New Roman"/>
      <b val="1"/>
      <color rgb="001F4E78"/>
      <sz val="11"/>
    </font>
    <font>
      <name val="Times New Roman"/>
      <b val="1"/>
      <i val="1"/>
      <sz val="11"/>
    </font>
    <font>
      <name val="Times New Roman"/>
      <color rgb="00666666"/>
      <sz val="10"/>
    </font>
  </fonts>
  <fills count="5">
    <fill>
      <patternFill/>
    </fill>
    <fill>
      <patternFill patternType="gray125"/>
    </fill>
    <fill>
      <patternFill patternType="solid">
        <fgColor rgb="00D9E1F2"/>
      </patternFill>
    </fill>
    <fill>
      <patternFill patternType="solid">
        <fgColor rgb="001F4E78"/>
      </patternFill>
    </fill>
    <fill>
      <patternFill patternType="solid">
        <fgColor rgb="00EAF1F8"/>
      </patternFill>
    </fill>
  </fills>
  <borders count="2">
    <border>
      <left/>
      <right/>
      <top/>
      <bottom/>
      <diagonal/>
    </border>
    <border>
      <left style="thin">
        <color rgb="00888888"/>
      </left>
      <right style="thin">
        <color rgb="00888888"/>
      </right>
      <top style="thin">
        <color rgb="00888888"/>
      </top>
      <bottom style="thin">
        <color rgb="00888888"/>
      </bottom>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wrapText="1"/>
    </xf>
    <xf numFmtId="0" fontId="6" fillId="0" borderId="1" applyAlignment="1" pivotButton="0" quotePrefix="0" xfId="0">
      <alignment horizontal="left" vertical="top"/>
    </xf>
    <xf numFmtId="0" fontId="5" fillId="0" borderId="1" applyAlignment="1" pivotButton="0" quotePrefix="0" xfId="0">
      <alignment horizontal="left" vertical="top" wrapText="1"/>
    </xf>
    <xf numFmtId="0" fontId="7" fillId="3" borderId="1" applyAlignment="1" pivotButton="0" quotePrefix="0" xfId="0">
      <alignment horizontal="center" vertical="center" wrapText="1"/>
    </xf>
    <xf numFmtId="0" fontId="8" fillId="0" borderId="0" pivotButton="0" quotePrefix="0" xfId="0"/>
    <xf numFmtId="0" fontId="5" fillId="0" borderId="0" applyAlignment="1" pivotButton="0" quotePrefix="0" xfId="0">
      <alignment horizontal="left" vertical="top" wrapText="1"/>
    </xf>
    <xf numFmtId="0" fontId="9" fillId="0" borderId="0" pivotButton="0" quotePrefix="0" xfId="0"/>
    <xf numFmtId="0" fontId="8" fillId="0" borderId="0" applyAlignment="1" pivotButton="0" quotePrefix="0" xfId="0">
      <alignment horizontal="center" vertical="center"/>
    </xf>
    <xf numFmtId="0" fontId="6" fillId="4" borderId="1" applyAlignment="1" pivotButton="0" quotePrefix="0" xfId="0">
      <alignment horizontal="left" vertical="top"/>
    </xf>
    <xf numFmtId="0" fontId="10" fillId="3" borderId="1" applyAlignment="1" pivotButton="0" quotePrefix="0" xfId="0">
      <alignment horizontal="center" vertical="center" wrapText="1"/>
    </xf>
    <xf numFmtId="0" fontId="5" fillId="0" borderId="1" applyAlignment="1" pivotButton="0" quotePrefix="0" xfId="0">
      <alignment horizontal="left" vertical="center"/>
    </xf>
    <xf numFmtId="0" fontId="5" fillId="0" borderId="1" applyAlignment="1" pivotButton="0" quotePrefix="0" xfId="0">
      <alignment horizontal="center" vertical="center"/>
    </xf>
    <xf numFmtId="164" fontId="5" fillId="0" borderId="1" applyAlignment="1" pivotButton="0" quotePrefix="0" xfId="0">
      <alignment horizontal="center" vertical="center"/>
    </xf>
    <xf numFmtId="0" fontId="6" fillId="4" borderId="1" applyAlignment="1" pivotButton="0" quotePrefix="0" xfId="0">
      <alignment horizontal="left" vertical="center"/>
    </xf>
    <xf numFmtId="0" fontId="6" fillId="4" borderId="1" applyAlignment="1" pivotButton="0" quotePrefix="0" xfId="0">
      <alignment horizontal="center" vertical="center"/>
    </xf>
    <xf numFmtId="164" fontId="6" fillId="4" borderId="1" applyAlignment="1" pivotButton="0" quotePrefix="0" xfId="0">
      <alignment horizontal="center" vertical="center"/>
    </xf>
    <xf numFmtId="0" fontId="11" fillId="4" borderId="1" applyAlignment="1" pivotButton="0" quotePrefix="0" xfId="0">
      <alignment horizontal="center" vertical="center" wrapText="1"/>
    </xf>
    <xf numFmtId="0" fontId="6" fillId="0" borderId="1" applyAlignment="1" pivotButton="0" quotePrefix="0" xfId="0">
      <alignment horizontal="left" vertical="center"/>
    </xf>
    <xf numFmtId="0" fontId="6" fillId="0" borderId="1" applyAlignment="1" pivotButton="0" quotePrefix="0" xfId="0">
      <alignment horizontal="center" vertical="center"/>
    </xf>
    <xf numFmtId="0" fontId="12" fillId="4" borderId="1" applyAlignment="1" pivotButton="0" quotePrefix="0" xfId="0">
      <alignment horizontal="left" vertical="center"/>
    </xf>
    <xf numFmtId="0" fontId="3" fillId="0" borderId="0" pivotButton="0" quotePrefix="0" xfId="0"/>
    <xf numFmtId="0" fontId="13" fillId="0" borderId="0" pivotButton="0" quotePrefix="0" xfId="0"/>
    <xf numFmtId="0" fontId="6" fillId="0" borderId="0" applyAlignment="1" pivotButton="0" quotePrefix="0" xfId="0">
      <alignment horizontal="right"/>
    </xf>
    <xf numFmtId="0" fontId="5" fillId="0" borderId="1" applyAlignment="1" pivotButton="0" quotePrefix="0" xfId="0">
      <alignment horizontal="left" vertical="center" wrapText="1"/>
    </xf>
    <xf numFmtId="0" fontId="6" fillId="0" borderId="0" pivotButton="0" quotePrefix="0" xfId="0"/>
  </cellXfs>
  <cellStyles count="1">
    <cellStyle name="Normal" xfId="0" builtinId="0" hidden="0"/>
  </cellStyles>
  <dxfs count="10">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EDEDED"/>
          <bgColor rgb="00EDEDED"/>
        </patternFill>
      </fill>
    </dxf>
    <dxf>
      <fill>
        <patternFill patternType="solid">
          <fgColor rgb="00FFE4C4"/>
          <bgColor rgb="00FFE4C4"/>
        </patternFill>
      </fill>
    </dxf>
    <dxf>
      <fill>
        <patternFill patternType="solid">
          <fgColor rgb="00F4CCCC"/>
          <bgColor rgb="00F4CCCC"/>
        </patternFill>
      </fill>
    </dxf>
    <dxf>
      <fill>
        <patternFill patternType="solid">
          <fgColor rgb="00FCE5CD"/>
          <bgColor rgb="00FCE5CD"/>
        </patternFill>
      </fill>
    </dxf>
    <dxf>
      <fill>
        <patternFill patternType="solid">
          <fgColor rgb="00FFF2CC"/>
          <bgColor rgb="00FFF2CC"/>
        </patternFill>
      </fill>
    </dxf>
    <dxf>
      <fill>
        <patternFill patternType="solid">
          <fgColor rgb="00D9EAD3"/>
          <bgColor rgb="00D9EAD3"/>
        </patternFill>
      </fill>
    </dxf>
    <dxf>
      <fill>
        <patternFill patternType="solid">
          <fgColor rgb="00EFEFEF"/>
          <bgColor rgb="00EFEFE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0"/>
  <sheetViews>
    <sheetView showGridLines="0" workbookViewId="0">
      <selection activeCell="A1" sqref="A1"/>
    </sheetView>
  </sheetViews>
  <sheetFormatPr baseColWidth="8" defaultRowHeight="15"/>
  <cols>
    <col width="4" customWidth="1" min="1" max="1"/>
    <col width="22" customWidth="1" min="2" max="2"/>
    <col width="30" customWidth="1" min="3" max="3"/>
    <col width="18" customWidth="1" min="4" max="4"/>
    <col width="18" customWidth="1" min="5" max="5"/>
    <col width="18" customWidth="1" min="6" max="6"/>
    <col width="18" customWidth="1" min="7" max="7"/>
    <col width="18" customWidth="1" min="8" max="8"/>
  </cols>
  <sheetData>
    <row r="2">
      <c r="B2" s="1" t="inlineStr">
        <is>
          <t>[Tên hệ thống]</t>
        </is>
      </c>
    </row>
    <row r="3"/>
    <row r="4"/>
    <row r="5">
      <c r="B5" s="2" t="inlineStr">
        <is>
          <t>KỊCH BẢN KIỂM THỬ — TEST CASE DOCUMENT</t>
        </is>
      </c>
    </row>
    <row r="7">
      <c r="B7" s="3" t="inlineStr">
        <is>
          <t>Mã biểu mẫu: BM.QT.04.04 · Phiên bản: 1.0 · Ngày: dd/mm/yyyy</t>
        </is>
      </c>
    </row>
    <row r="10">
      <c r="B10" s="4" t="inlineStr">
        <is>
          <t>THÔNG TIN DỰ ÁN</t>
        </is>
      </c>
    </row>
    <row r="11">
      <c r="B11" s="5" t="inlineStr">
        <is>
          <t>Tên dự án</t>
        </is>
      </c>
      <c r="C11" s="6" t="inlineStr">
        <is>
          <t>[Tên hệ thống]</t>
        </is>
      </c>
    </row>
    <row r="12">
      <c r="B12" s="5" t="inlineStr">
        <is>
          <t>Mã dự án</t>
        </is>
      </c>
      <c r="C12" s="6" t="inlineStr">
        <is>
          <t>[Mã DA]</t>
        </is>
      </c>
    </row>
    <row r="13">
      <c r="B13" s="5" t="inlineStr">
        <is>
          <t>Khách hàng</t>
        </is>
      </c>
      <c r="C13" s="6" t="inlineStr">
        <is>
          <t>[Khách hàng]</t>
        </is>
      </c>
    </row>
    <row r="14">
      <c r="B14" s="5" t="inlineStr">
        <is>
          <t>Đơn vị thực hiện</t>
        </is>
      </c>
      <c r="C14" s="6" t="inlineStr">
        <is>
          <t>[Đơn vị phát triển]</t>
        </is>
      </c>
    </row>
    <row r="15">
      <c r="B15" s="5" t="inlineStr">
        <is>
          <t>Phạm vi mô tả</t>
        </is>
      </c>
      <c r="C15" s="6" t="inlineStr">
        <is>
          <t>[Mô tả phạm vi]</t>
        </is>
      </c>
    </row>
    <row r="16">
      <c r="B16" s="5" t="inlineStr">
        <is>
          <t>Công nghệ sử dụng</t>
        </is>
      </c>
      <c r="C16" s="6" t="inlineStr">
        <is>
          <t>[Công nghệ]</t>
        </is>
      </c>
    </row>
    <row r="18">
      <c r="B18" s="4" t="inlineStr">
        <is>
          <t>LỊCH SỬ THAY ĐỔI</t>
        </is>
      </c>
    </row>
    <row r="19" ht="24" customHeight="1">
      <c r="B19" s="7" t="inlineStr">
        <is>
          <t>Ngày</t>
        </is>
      </c>
      <c r="C19" s="7" t="inlineStr">
        <is>
          <t>Phiên bản</t>
        </is>
      </c>
      <c r="D19" s="7" t="inlineStr">
        <is>
          <t>Loại</t>
        </is>
      </c>
      <c r="E19" s="7" t="inlineStr">
        <is>
          <t>Phạm vi</t>
        </is>
      </c>
      <c r="F19" s="7" t="inlineStr">
        <is>
          <t>Người sửa</t>
        </is>
      </c>
      <c r="G19" s="7" t="inlineStr">
        <is>
          <t>Người duyệt</t>
        </is>
      </c>
      <c r="H19" s="7" t="inlineStr">
        <is>
          <t>Ghi chú</t>
        </is>
      </c>
    </row>
    <row r="20" ht="22" customHeight="1">
      <c r="B20" s="6" t="inlineStr">
        <is>
          <t>dd/mm/yyyy</t>
        </is>
      </c>
      <c r="C20" s="6" t="inlineStr">
        <is>
          <t>1.0</t>
        </is>
      </c>
      <c r="D20" s="6" t="inlineStr">
        <is>
          <t>Tạo mới</t>
        </is>
      </c>
      <c r="E20" s="6" t="inlineStr">
        <is>
          <t>Toàn bộ tài liệu</t>
        </is>
      </c>
      <c r="F20" s="6" t="inlineStr">
        <is>
          <t>[Đơn vị phát triển]</t>
        </is>
      </c>
      <c r="G20" s="6" t="inlineStr">
        <is>
          <t>[CẦN BỔ SUNG]</t>
        </is>
      </c>
      <c r="H20" s="6" t="inlineStr"/>
    </row>
  </sheetData>
  <mergeCells count="11">
    <mergeCell ref="C11:H11"/>
    <mergeCell ref="C16:H16"/>
    <mergeCell ref="B18:H18"/>
    <mergeCell ref="C14:H14"/>
    <mergeCell ref="C13:H13"/>
    <mergeCell ref="C12:H12"/>
    <mergeCell ref="B10:H10"/>
    <mergeCell ref="B7:H7"/>
    <mergeCell ref="B2:H4"/>
    <mergeCell ref="B5:H5"/>
    <mergeCell ref="C15:H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23"/>
  <sheetViews>
    <sheetView showGridLines="0" workbookViewId="0">
      <selection activeCell="A1" sqref="A1"/>
    </sheetView>
  </sheetViews>
  <sheetFormatPr baseColWidth="8" defaultRowHeight="15"/>
  <cols>
    <col width="4" customWidth="1" min="1" max="1"/>
    <col width="110" customWidth="1" min="2" max="2"/>
  </cols>
  <sheetData>
    <row r="2">
      <c r="B2" s="8" t="inlineStr">
        <is>
          <t>HƯỚNG DẪN SỬ DỤNG TÀI LIỆU</t>
        </is>
      </c>
    </row>
    <row r="4">
      <c r="B4" s="9" t="inlineStr">
        <is>
          <t>Tài liệu chứa toàn bộ kịch bản kiểm thử (test case) của hệ thống. Tester thực hiện theo các bước, ghi lại kết quả thực tế và liên kết bug nếu phát hiện.</t>
        </is>
      </c>
    </row>
    <row r="5" ht="24" customHeight="1">
      <c r="B5" s="10" t="inlineStr">
        <is>
          <t>Cấu trúc tài liệu</t>
        </is>
      </c>
    </row>
    <row r="6">
      <c r="B6" s="9" t="inlineStr">
        <is>
          <t>• Cover: Thông tin dự án + lịch sử thay đổi tài liệu.</t>
        </is>
      </c>
    </row>
    <row r="7">
      <c r="B7" s="9" t="inlineStr">
        <is>
          <t>• Overview: Phạm vi kiểm thử, môi trường, tiêu chí entry/exit.</t>
        </is>
      </c>
    </row>
    <row r="8">
      <c r="B8" s="9" t="inlineStr">
        <is>
          <t>• Dashboard: Tổng hợp kết quả kiểm thử (auto-update bằng công thức từ các sheet TC).</t>
        </is>
      </c>
    </row>
    <row r="9">
      <c r="B9" s="9" t="inlineStr">
        <is>
          <t>• Tên chức năng: Test case giao diện — tester thao tác qua trình duyệt theo các bước.</t>
        </is>
      </c>
    </row>
    <row r="10">
      <c r="B10" s="9" t="inlineStr">
        <is>
          <t>• Tên API: Test case API — tester gọi endpoint theo specification.</t>
        </is>
      </c>
    </row>
    <row r="11">
      <c r="B11" s="9" t="inlineStr">
        <is>
          <t>• Danh sách lỗi: Danh sách lỗi phát hiện. Mỗi bug có ID, link tới TC, severity, status.</t>
        </is>
      </c>
    </row>
    <row r="12">
      <c r="B12" s="9" t="inlineStr">
        <is>
          <t>• Test Data: Thư viện dữ liệu test (boundary values, fixtures).</t>
        </is>
      </c>
    </row>
    <row r="13">
      <c r="B13" s="9" t="inlineStr">
        <is>
          <t>• Lookups: Danh sách giá trị dropdown (ẩn — không sửa).</t>
        </is>
      </c>
    </row>
    <row r="14" ht="24" customHeight="1">
      <c r="B14" s="10" t="inlineStr">
        <is>
          <t>Quy trình thực hiện</t>
        </is>
      </c>
    </row>
    <row r="15">
      <c r="B15" s="9" t="inlineStr">
        <is>
          <t>Bước 1: Tester đọc Overview → hiểu phạm vi, môi trường.</t>
        </is>
      </c>
    </row>
    <row r="16">
      <c r="B16" s="9" t="inlineStr">
        <is>
          <t>Bước 2: Mở UI/Tên API → chọn TC theo Module/Priority → đọc Tiền điều kiện + Steps.</t>
        </is>
      </c>
    </row>
    <row r="17">
      <c r="B17" s="9" t="inlineStr">
        <is>
          <t>Bước 3: Thực hiện theo Steps, ghi Kết quả thực tế vào cột tương ứng.</t>
        </is>
      </c>
    </row>
    <row r="18">
      <c r="B18" s="9" t="inlineStr">
        <is>
          <t>Bước 4: Chọn Trạng thái: Pass / Fail / Blocked / Skip / Not-Run từ dropdown.</t>
        </is>
      </c>
    </row>
    <row r="19">
      <c r="B19" s="9" t="inlineStr">
        <is>
          <t>Bước 5: Nếu Fail → log vào Danh sách lỗi → ghi Bug ID vào TC, gắn Severity.</t>
        </is>
      </c>
    </row>
    <row r="20">
      <c r="B20" s="9" t="inlineStr">
        <is>
          <t>Bước 6: Hoàn tất 1 cycle → Dashboard tự cập nhật pass rate, defect breakdown.</t>
        </is>
      </c>
    </row>
    <row r="21">
      <c r="B21" s="9" t="inlineStr">
        <is>
          <t>Quy ước Mã TC: Format: TC-{MOD}-{ROLE}-{DIM}-{NNN}. VD: TC-M02-PHAN_CONG-HAPPY-001.</t>
        </is>
      </c>
    </row>
    <row r="22">
      <c r="B22" s="9" t="inlineStr">
        <is>
          <t>Mã ưu tiên (Priority): Rất cao = smoke/auth/security/audit. Cao = validation/RBAC. Trung bình = boundary/alternate. Thấp = cosmetic.</t>
        </is>
      </c>
    </row>
    <row r="23">
      <c r="B23" s="9" t="inlineStr">
        <is>
          <t>Mức nghiêm trọng (Severity): Blocker = hệ thống không dùng được. Major = chức năng chính lỗi. Minor = chức năng phụ. Trivial = cosmetic/typo.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15"/>
  <sheetViews>
    <sheetView showGridLines="0" workbookViewId="0">
      <selection activeCell="A1" sqref="A1"/>
    </sheetView>
  </sheetViews>
  <sheetFormatPr baseColWidth="8" defaultRowHeight="15"/>
  <cols>
    <col width="4" customWidth="1" min="1" max="1"/>
    <col width="28" customWidth="1" min="2" max="2"/>
    <col width="22" customWidth="1" min="3" max="3"/>
    <col width="18" customWidth="1" min="4" max="4"/>
    <col width="18" customWidth="1" min="5" max="5"/>
    <col width="18" customWidth="1" min="6" max="6"/>
    <col width="18" customWidth="1" min="7" max="7"/>
    <col width="18" customWidth="1" min="8" max="8"/>
  </cols>
  <sheetData>
    <row r="2" ht="30" customHeight="1">
      <c r="B2" s="11" t="inlineStr">
        <is>
          <t>TỔNG QUAN KIỂM THỬ</t>
        </is>
      </c>
    </row>
    <row r="4" ht="22" customHeight="1">
      <c r="B4" s="12" t="inlineStr">
        <is>
          <t>Phạm vi kiểm thử</t>
        </is>
      </c>
      <c r="C4" s="6" t="inlineStr">
        <is>
          <t>[Mô tả phạm vi]</t>
        </is>
      </c>
    </row>
    <row r="5" ht="22" customHeight="1">
      <c r="B5" s="12" t="inlineStr">
        <is>
          <t>Đơn vị phát triển</t>
        </is>
      </c>
      <c r="C5" s="6" t="inlineStr">
        <is>
          <t>[Đơn vị phát triển]</t>
        </is>
      </c>
    </row>
    <row r="6" ht="22" customHeight="1">
      <c r="B6" s="12" t="inlineStr">
        <is>
          <t>Khách hàng</t>
        </is>
      </c>
      <c r="C6" s="6" t="inlineStr">
        <is>
          <t>[Khách hàng]</t>
        </is>
      </c>
    </row>
    <row r="7" ht="22" customHeight="1">
      <c r="B7" s="12" t="inlineStr">
        <is>
          <t>Phiên bản hệ thống</t>
        </is>
      </c>
      <c r="C7" s="6" t="inlineStr">
        <is>
          <t>1.0</t>
        </is>
      </c>
    </row>
    <row r="8" ht="22" customHeight="1">
      <c r="B8" s="12" t="inlineStr">
        <is>
          <t>Công nghệ</t>
        </is>
      </c>
      <c r="C8" s="6" t="inlineStr">
        <is>
          <t>[Công nghệ]</t>
        </is>
      </c>
    </row>
    <row r="9" ht="22" customHeight="1">
      <c r="B9" s="12" t="inlineStr">
        <is>
          <t>Môi trường kiểm thử</t>
        </is>
      </c>
      <c r="C9" s="6" t="inlineStr">
        <is>
          <t>Web (Chrome/Edge/Firefox), backend localhost Docker</t>
        </is>
      </c>
    </row>
    <row r="10" ht="22" customHeight="1">
      <c r="B10" s="12" t="inlineStr">
        <is>
          <t>Thời gian kiểm thử</t>
        </is>
      </c>
      <c r="C10" s="6" t="inlineStr">
        <is>
          <t>[Thời gian]</t>
        </is>
      </c>
    </row>
    <row r="11" ht="22" customHeight="1">
      <c r="B11" s="12" t="inlineStr">
        <is>
          <t>Tester chính</t>
        </is>
      </c>
      <c r="C11" s="6" t="inlineStr">
        <is>
          <t>[Tester chính]</t>
        </is>
      </c>
    </row>
    <row r="12" ht="36" customHeight="1">
      <c r="B12" s="12" t="inlineStr">
        <is>
          <t>Tiêu chí Entry</t>
        </is>
      </c>
      <c r="C12" s="6" t="inlineStr">
        <is>
          <t>Hệ thống đã build + deploy lên môi trường test; có test data đầy đủ; tester đã được training.</t>
        </is>
      </c>
    </row>
    <row r="13" ht="36" customHeight="1">
      <c r="B13" s="12" t="inlineStr">
        <is>
          <t>Tiêu chí Exit</t>
        </is>
      </c>
      <c r="C13" s="6" t="inlineStr">
        <is>
          <t>100% TC priority Rất cao + Cao đã thực hiện; pass rate ≥ 95%; không còn defect Blocker/Major mở.</t>
        </is>
      </c>
    </row>
    <row r="14" ht="36" customHeight="1">
      <c r="B14" s="12" t="inlineStr">
        <is>
          <t>Test technique áp dụng</t>
        </is>
      </c>
      <c r="C14" s="6" t="inlineStr">
        <is>
          <t>ISTQB: Equivalence Partition, Boundary Value Analysis, Decision Table, State Transition, Error Guessing.</t>
        </is>
      </c>
    </row>
    <row r="15" ht="22" customHeight="1">
      <c r="B15" s="12" t="inlineStr">
        <is>
          <t>Tham chiếu</t>
        </is>
      </c>
      <c r="C15" s="6" t="inlineStr">
        <is>
          <t>TKCS, TKCT, HDSD của hệ thống. Acceptance criteria nằm trong feature-catalog.json.</t>
        </is>
      </c>
    </row>
  </sheetData>
  <mergeCells count="13">
    <mergeCell ref="C11:H11"/>
    <mergeCell ref="C6:H6"/>
    <mergeCell ref="C10:H10"/>
    <mergeCell ref="C14:H14"/>
    <mergeCell ref="C5:H5"/>
    <mergeCell ref="C13:H13"/>
    <mergeCell ref="C9:H9"/>
    <mergeCell ref="B2:H2"/>
    <mergeCell ref="C8:H8"/>
    <mergeCell ref="C4:H4"/>
    <mergeCell ref="C12:H12"/>
    <mergeCell ref="C7:H7"/>
    <mergeCell ref="C15:H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J46"/>
  <sheetViews>
    <sheetView showGridLines="0" workbookViewId="0">
      <selection activeCell="A1" sqref="A1"/>
    </sheetView>
  </sheetViews>
  <sheetFormatPr baseColWidth="8" defaultRowHeight="15"/>
  <cols>
    <col width="4" customWidth="1" min="1" max="1"/>
    <col width="2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2" ht="32" customHeight="1">
      <c r="B2" s="13" t="inlineStr">
        <is>
          <t>BẢNG TỔNG HỢP KẾT QUẢ KIỂM THỬ</t>
        </is>
      </c>
    </row>
    <row r="4">
      <c r="B4" s="4" t="inlineStr">
        <is>
          <t>1. KẾT QUẢ TỔNG</t>
        </is>
      </c>
    </row>
    <row r="5" ht="28" customHeight="1">
      <c r="B5" s="7" t="inlineStr">
        <is>
          <t>Phạm vi</t>
        </is>
      </c>
      <c r="C5" s="7" t="inlineStr">
        <is>
          <t>Tổng TC</t>
        </is>
      </c>
      <c r="D5" s="7" t="inlineStr">
        <is>
          <t>Pass</t>
        </is>
      </c>
      <c r="E5" s="7" t="inlineStr">
        <is>
          <t>Fail</t>
        </is>
      </c>
      <c r="F5" s="7" t="inlineStr">
        <is>
          <t>Blocked</t>
        </is>
      </c>
      <c r="G5" s="7" t="inlineStr">
        <is>
          <t>Skip</t>
        </is>
      </c>
      <c r="H5" s="7" t="inlineStr">
        <is>
          <t>Not-Run</t>
        </is>
      </c>
      <c r="I5" s="7" t="inlineStr">
        <is>
          <t>Pass rate</t>
        </is>
      </c>
      <c r="J5" s="7" t="inlineStr">
        <is>
          <t>Tỷ lệ thực hiện</t>
        </is>
      </c>
    </row>
    <row r="6" ht="22" customHeight="1">
      <c r="B6" s="14" t="inlineStr">
        <is>
          <t>Tên chức năng</t>
        </is>
      </c>
      <c r="C6" s="15">
        <f>COUNTA('Tên chức năng'!A13:A1000)</f>
        <v/>
      </c>
      <c r="D6" s="15">
        <f>COUNTIF('Tên chức năng'!I13:I1000,"Pass")+COUNTIF('Tên chức năng'!K13:K1000,"Pass")</f>
        <v/>
      </c>
      <c r="E6" s="15">
        <f>COUNTIF('Tên chức năng'!I13:I1000,"Fail")+COUNTIF('Tên chức năng'!K13:K1000,"Fail")</f>
        <v/>
      </c>
      <c r="F6" s="15">
        <f>COUNTIF('Tên chức năng'!I13:I1000,"Blocked")+COUNTIF('Tên chức năng'!K13:K1000,"Blocked")</f>
        <v/>
      </c>
      <c r="G6" s="15">
        <f>COUNTIF('Tên chức năng'!I13:I1000,"Skip")+COUNTIF('Tên chức năng'!K13:K1000,"Skip")</f>
        <v/>
      </c>
      <c r="H6" s="15">
        <f>C6-D6-E6-F6-G6</f>
        <v/>
      </c>
      <c r="I6" s="16">
        <f>IFERROR(D6/(D6+E6),0)</f>
        <v/>
      </c>
      <c r="J6" s="16">
        <f>IFERROR((D6+E6+F6+G6)/C6,0)</f>
        <v/>
      </c>
    </row>
    <row r="7" ht="22" customHeight="1">
      <c r="B7" s="14" t="inlineStr">
        <is>
          <t>Tên API</t>
        </is>
      </c>
      <c r="C7" s="15">
        <f>COUNTA('Tên API'!A13:A1000)</f>
        <v/>
      </c>
      <c r="D7" s="15">
        <f>COUNTIF('Tên API'!I13:I1000,"Pass")+COUNTIF('Tên API'!K13:K1000,"Pass")</f>
        <v/>
      </c>
      <c r="E7" s="15">
        <f>COUNTIF('Tên API'!I13:I1000,"Fail")+COUNTIF('Tên API'!K13:K1000,"Fail")</f>
        <v/>
      </c>
      <c r="F7" s="15">
        <f>COUNTIF('Tên API'!I13:I1000,"Blocked")+COUNTIF('Tên API'!K13:K1000,"Blocked")</f>
        <v/>
      </c>
      <c r="G7" s="15">
        <f>COUNTIF('Tên API'!I13:I1000,"Skip")+COUNTIF('Tên API'!K13:K1000,"Skip")</f>
        <v/>
      </c>
      <c r="H7" s="15">
        <f>C7-D7-E7-F7-G7</f>
        <v/>
      </c>
      <c r="I7" s="16">
        <f>IFERROR(D7/(D7+E7),0)</f>
        <v/>
      </c>
      <c r="J7" s="16">
        <f>IFERROR((D7+E7+F7+G7)/C7,0)</f>
        <v/>
      </c>
    </row>
    <row r="8" ht="22" customHeight="1">
      <c r="B8" s="17" t="inlineStr">
        <is>
          <t>TỔNG</t>
        </is>
      </c>
      <c r="C8" s="18">
        <f>SUM(C6:C7)</f>
        <v/>
      </c>
      <c r="D8" s="18">
        <f>SUM(D6:D7)</f>
        <v/>
      </c>
      <c r="E8" s="18">
        <f>SUM(E6:E7)</f>
        <v/>
      </c>
      <c r="F8" s="18">
        <f>SUM(F6:F7)</f>
        <v/>
      </c>
      <c r="G8" s="18">
        <f>SUM(G6:G7)</f>
        <v/>
      </c>
      <c r="H8" s="18">
        <f>SUM(H6:H7)</f>
        <v/>
      </c>
      <c r="I8" s="19">
        <f>IFERROR(D8/(D8+E8),0)</f>
        <v/>
      </c>
      <c r="J8" s="19">
        <f>IFERROR((D8+E8+F8+G8)/C8,0)</f>
        <v/>
      </c>
    </row>
    <row r="11">
      <c r="B11" s="4" t="inlineStr">
        <is>
          <t>2. KẾT QUẢ THEO MỨC ƯU TIÊN</t>
        </is>
      </c>
    </row>
    <row r="12">
      <c r="B12" s="7" t="inlineStr">
        <is>
          <t>Mức ưu tiên</t>
        </is>
      </c>
      <c r="C12" s="7" t="inlineStr">
        <is>
          <t>Tổng TC</t>
        </is>
      </c>
      <c r="D12" s="7" t="inlineStr">
        <is>
          <t>Pass</t>
        </is>
      </c>
      <c r="E12" s="7" t="inlineStr">
        <is>
          <t>Fail</t>
        </is>
      </c>
      <c r="F12" s="7" t="inlineStr">
        <is>
          <t>Blocked</t>
        </is>
      </c>
      <c r="G12" s="7" t="inlineStr">
        <is>
          <t>Pass rate</t>
        </is>
      </c>
    </row>
    <row r="13">
      <c r="B13" s="14" t="inlineStr">
        <is>
          <t>Rất cao</t>
        </is>
      </c>
      <c r="C13" s="15">
        <f>COUNTIF('Tên chức năng'!C13:C1000,"Rất cao")+COUNTIF('Tên API'!C13:C1000,"Rất cao")</f>
        <v/>
      </c>
      <c r="D13" s="15">
        <f>COUNTIFS('Tên chức năng'!C13:C1000,"Rất cao",'Tên chức năng'!I13:I1000,"Pass")+COUNTIFS('Tên API'!C13:C1000,"Rất cao",'Tên API'!I13:I1000,"Pass")</f>
        <v/>
      </c>
      <c r="E13" s="15">
        <f>COUNTIFS('Tên chức năng'!C13:C1000,"Rất cao",'Tên chức năng'!I13:I1000,"Fail")+COUNTIFS('Tên API'!C13:C1000,"Rất cao",'Tên API'!I13:I1000,"Fail")</f>
        <v/>
      </c>
      <c r="F13" s="15">
        <f>COUNTIFS('Tên chức năng'!C13:C1000,"Rất cao",'Tên chức năng'!I13:I1000,"Blocked")+COUNTIFS('Tên API'!C13:C1000,"Rất cao",'Tên API'!I13:I1000,"Blocked")</f>
        <v/>
      </c>
      <c r="G13" s="16">
        <f>IFERROR(D13/(D13+E13),0)</f>
        <v/>
      </c>
    </row>
    <row r="14">
      <c r="B14" s="14" t="inlineStr">
        <is>
          <t>Cao</t>
        </is>
      </c>
      <c r="C14" s="15">
        <f>COUNTIF('Tên chức năng'!C13:C1000,"Cao")+COUNTIF('Tên API'!C13:C1000,"Cao")</f>
        <v/>
      </c>
      <c r="D14" s="15">
        <f>COUNTIFS('Tên chức năng'!C13:C1000,"Cao",'Tên chức năng'!I13:I1000,"Pass")+COUNTIFS('Tên API'!C13:C1000,"Cao",'Tên API'!I13:I1000,"Pass")</f>
        <v/>
      </c>
      <c r="E14" s="15">
        <f>COUNTIFS('Tên chức năng'!C13:C1000,"Cao",'Tên chức năng'!I13:I1000,"Fail")+COUNTIFS('Tên API'!C13:C1000,"Cao",'Tên API'!I13:I1000,"Fail")</f>
        <v/>
      </c>
      <c r="F14" s="15">
        <f>COUNTIFS('Tên chức năng'!C13:C1000,"Cao",'Tên chức năng'!I13:I1000,"Blocked")+COUNTIFS('Tên API'!C13:C1000,"Cao",'Tên API'!I13:I1000,"Blocked")</f>
        <v/>
      </c>
      <c r="G14" s="16">
        <f>IFERROR(D14/(D14+E14),0)</f>
        <v/>
      </c>
    </row>
    <row r="15">
      <c r="B15" s="14" t="inlineStr">
        <is>
          <t>Trung bình</t>
        </is>
      </c>
      <c r="C15" s="15">
        <f>COUNTIF('Tên chức năng'!C13:C1000,"Trung bình")+COUNTIF('Tên API'!C13:C1000,"Trung bình")</f>
        <v/>
      </c>
      <c r="D15" s="15">
        <f>COUNTIFS('Tên chức năng'!C13:C1000,"Trung bình",'Tên chức năng'!I13:I1000,"Pass")+COUNTIFS('Tên API'!C13:C1000,"Trung bình",'Tên API'!I13:I1000,"Pass")</f>
        <v/>
      </c>
      <c r="E15" s="15">
        <f>COUNTIFS('Tên chức năng'!C13:C1000,"Trung bình",'Tên chức năng'!I13:I1000,"Fail")+COUNTIFS('Tên API'!C13:C1000,"Trung bình",'Tên API'!I13:I1000,"Fail")</f>
        <v/>
      </c>
      <c r="F15" s="15">
        <f>COUNTIFS('Tên chức năng'!C13:C1000,"Trung bình",'Tên chức năng'!I13:I1000,"Blocked")+COUNTIFS('Tên API'!C13:C1000,"Trung bình",'Tên API'!I13:I1000,"Blocked")</f>
        <v/>
      </c>
      <c r="G15" s="16">
        <f>IFERROR(D15/(D15+E15),0)</f>
        <v/>
      </c>
    </row>
    <row r="16">
      <c r="B16" s="14" t="inlineStr">
        <is>
          <t>Thấp</t>
        </is>
      </c>
      <c r="C16" s="15">
        <f>COUNTIF('Tên chức năng'!C13:C1000,"Thấp")+COUNTIF('Tên API'!C13:C1000,"Thấp")</f>
        <v/>
      </c>
      <c r="D16" s="15">
        <f>COUNTIFS('Tên chức năng'!C13:C1000,"Thấp",'Tên chức năng'!I13:I1000,"Pass")+COUNTIFS('Tên API'!C13:C1000,"Thấp",'Tên API'!I13:I1000,"Pass")</f>
        <v/>
      </c>
      <c r="E16" s="15">
        <f>COUNTIFS('Tên chức năng'!C13:C1000,"Thấp",'Tên chức năng'!I13:I1000,"Fail")+COUNTIFS('Tên API'!C13:C1000,"Thấp",'Tên API'!I13:I1000,"Fail")</f>
        <v/>
      </c>
      <c r="F16" s="15">
        <f>COUNTIFS('Tên chức năng'!C13:C1000,"Thấp",'Tên chức năng'!I13:I1000,"Blocked")+COUNTIFS('Tên API'!C13:C1000,"Thấp",'Tên API'!I13:I1000,"Blocked")</f>
        <v/>
      </c>
      <c r="G16" s="16">
        <f>IFERROR(D16/(D16+E16),0)</f>
        <v/>
      </c>
    </row>
    <row r="19">
      <c r="B19" s="4" t="inlineStr">
        <is>
          <t>3. PHÂN LOẠI LỖI</t>
        </is>
      </c>
    </row>
    <row r="20" ht="24" customHeight="1">
      <c r="B20" s="7" t="inlineStr">
        <is>
          <t>Trạng thái lỗi</t>
        </is>
      </c>
      <c r="C20" s="7" t="inlineStr">
        <is>
          <t>Phân loại lỗi theo severity</t>
        </is>
      </c>
      <c r="G20" s="7" t="inlineStr">
        <is>
          <t>Tổng</t>
        </is>
      </c>
    </row>
    <row r="21" ht="22" customHeight="1">
      <c r="B21" s="20" t="inlineStr"/>
      <c r="C21" s="20" t="inlineStr">
        <is>
          <t>Blocker</t>
        </is>
      </c>
      <c r="D21" s="20" t="inlineStr">
        <is>
          <t>Major</t>
        </is>
      </c>
      <c r="E21" s="20" t="inlineStr">
        <is>
          <t>Minor</t>
        </is>
      </c>
      <c r="F21" s="20" t="inlineStr">
        <is>
          <t>Trivial</t>
        </is>
      </c>
      <c r="G21" s="20" t="inlineStr"/>
    </row>
    <row r="22">
      <c r="B22" s="21" t="inlineStr">
        <is>
          <t>Open</t>
        </is>
      </c>
      <c r="C22" s="15">
        <f>COUNTIFS('Tên chức năng'!I13:I1000,"Fail",'Tên chức năng'!D13:D1000,"Blocker",'Tên chức năng'!J13:J1000,"Open")+COUNTIFS('Tên chức năng'!K13:K1000,"Fail",'Tên chức năng'!D13:D1000,"Blocker",'Tên chức năng'!L13:L1000,"Open")+COUNTIFS('Tên API'!I13:I1000,"Fail",'Tên API'!D13:D1000,"Blocker",'Tên API'!J13:J1000,"Open")+COUNTIFS('Tên API'!K13:K1000,"Fail",'Tên API'!D13:D1000,"Blocker",'Tên API'!L13:L1000,"Open")</f>
        <v/>
      </c>
      <c r="D22" s="15">
        <f>COUNTIFS('Tên chức năng'!I13:I1000,"Fail",'Tên chức năng'!D13:D1000,"Major",'Tên chức năng'!J13:J1000,"Open")+COUNTIFS('Tên chức năng'!K13:K1000,"Fail",'Tên chức năng'!D13:D1000,"Major",'Tên chức năng'!L13:L1000,"Open")+COUNTIFS('Tên API'!I13:I1000,"Fail",'Tên API'!D13:D1000,"Major",'Tên API'!J13:J1000,"Open")+COUNTIFS('Tên API'!K13:K1000,"Fail",'Tên API'!D13:D1000,"Major",'Tên API'!L13:L1000,"Open")</f>
        <v/>
      </c>
      <c r="E22" s="15">
        <f>COUNTIFS('Tên chức năng'!I13:I1000,"Fail",'Tên chức năng'!D13:D1000,"Minor",'Tên chức năng'!J13:J1000,"Open")+COUNTIFS('Tên chức năng'!K13:K1000,"Fail",'Tên chức năng'!D13:D1000,"Minor",'Tên chức năng'!L13:L1000,"Open")+COUNTIFS('Tên API'!I13:I1000,"Fail",'Tên API'!D13:D1000,"Minor",'Tên API'!J13:J1000,"Open")+COUNTIFS('Tên API'!K13:K1000,"Fail",'Tên API'!D13:D1000,"Minor",'Tên API'!L13:L1000,"Open")</f>
        <v/>
      </c>
      <c r="F22" s="15">
        <f>COUNTIFS('Tên chức năng'!I13:I1000,"Fail",'Tên chức năng'!D13:D1000,"Trivial",'Tên chức năng'!J13:J1000,"Open")+COUNTIFS('Tên chức năng'!K13:K1000,"Fail",'Tên chức năng'!D13:D1000,"Trivial",'Tên chức năng'!L13:L1000,"Open")+COUNTIFS('Tên API'!I13:I1000,"Fail",'Tên API'!D13:D1000,"Trivial",'Tên API'!J13:J1000,"Open")+COUNTIFS('Tên API'!K13:K1000,"Fail",'Tên API'!D13:D1000,"Trivial",'Tên API'!L13:L1000,"Open")</f>
        <v/>
      </c>
      <c r="G22" s="22">
        <f>SUM(C22:F22)</f>
        <v/>
      </c>
    </row>
    <row r="23">
      <c r="B23" s="21" t="inlineStr">
        <is>
          <t>In-Progress</t>
        </is>
      </c>
      <c r="C23" s="15">
        <f>COUNTIFS('Tên chức năng'!I13:I1000,"Fail",'Tên chức năng'!D13:D1000,"Blocker",'Tên chức năng'!J13:J1000,"In-Progress")+COUNTIFS('Tên chức năng'!K13:K1000,"Fail",'Tên chức năng'!D13:D1000,"Blocker",'Tên chức năng'!L13:L1000,"In-Progress")+COUNTIFS('Tên API'!I13:I1000,"Fail",'Tên API'!D13:D1000,"Blocker",'Tên API'!J13:J1000,"In-Progress")+COUNTIFS('Tên API'!K13:K1000,"Fail",'Tên API'!D13:D1000,"Blocker",'Tên API'!L13:L1000,"In-Progress")</f>
        <v/>
      </c>
      <c r="D23" s="15">
        <f>COUNTIFS('Tên chức năng'!I13:I1000,"Fail",'Tên chức năng'!D13:D1000,"Major",'Tên chức năng'!J13:J1000,"In-Progress")+COUNTIFS('Tên chức năng'!K13:K1000,"Fail",'Tên chức năng'!D13:D1000,"Major",'Tên chức năng'!L13:L1000,"In-Progress")+COUNTIFS('Tên API'!I13:I1000,"Fail",'Tên API'!D13:D1000,"Major",'Tên API'!J13:J1000,"In-Progress")+COUNTIFS('Tên API'!K13:K1000,"Fail",'Tên API'!D13:D1000,"Major",'Tên API'!L13:L1000,"In-Progress")</f>
        <v/>
      </c>
      <c r="E23" s="15">
        <f>COUNTIFS('Tên chức năng'!I13:I1000,"Fail",'Tên chức năng'!D13:D1000,"Minor",'Tên chức năng'!J13:J1000,"In-Progress")+COUNTIFS('Tên chức năng'!K13:K1000,"Fail",'Tên chức năng'!D13:D1000,"Minor",'Tên chức năng'!L13:L1000,"In-Progress")+COUNTIFS('Tên API'!I13:I1000,"Fail",'Tên API'!D13:D1000,"Minor",'Tên API'!J13:J1000,"In-Progress")+COUNTIFS('Tên API'!K13:K1000,"Fail",'Tên API'!D13:D1000,"Minor",'Tên API'!L13:L1000,"In-Progress")</f>
        <v/>
      </c>
      <c r="F23" s="15">
        <f>COUNTIFS('Tên chức năng'!I13:I1000,"Fail",'Tên chức năng'!D13:D1000,"Trivial",'Tên chức năng'!J13:J1000,"In-Progress")+COUNTIFS('Tên chức năng'!K13:K1000,"Fail",'Tên chức năng'!D13:D1000,"Trivial",'Tên chức năng'!L13:L1000,"In-Progress")+COUNTIFS('Tên API'!I13:I1000,"Fail",'Tên API'!D13:D1000,"Trivial",'Tên API'!J13:J1000,"In-Progress")+COUNTIFS('Tên API'!K13:K1000,"Fail",'Tên API'!D13:D1000,"Trivial",'Tên API'!L13:L1000,"In-Progress")</f>
        <v/>
      </c>
      <c r="G23" s="22">
        <f>SUM(C23:F23)</f>
        <v/>
      </c>
    </row>
    <row r="24">
      <c r="B24" s="21" t="inlineStr">
        <is>
          <t>Closed</t>
        </is>
      </c>
      <c r="C24" s="15">
        <f>COUNTIFS('Tên chức năng'!I13:I1000,"Fail",'Tên chức năng'!D13:D1000,"Blocker",'Tên chức năng'!J13:J1000,"Closed")+COUNTIFS('Tên chức năng'!K13:K1000,"Fail",'Tên chức năng'!D13:D1000,"Blocker",'Tên chức năng'!L13:L1000,"Closed")+COUNTIFS('Tên API'!I13:I1000,"Fail",'Tên API'!D13:D1000,"Blocker",'Tên API'!J13:J1000,"Closed")+COUNTIFS('Tên API'!K13:K1000,"Fail",'Tên API'!D13:D1000,"Blocker",'Tên API'!L13:L1000,"Closed")</f>
        <v/>
      </c>
      <c r="D24" s="15">
        <f>COUNTIFS('Tên chức năng'!I13:I1000,"Fail",'Tên chức năng'!D13:D1000,"Major",'Tên chức năng'!J13:J1000,"Closed")+COUNTIFS('Tên chức năng'!K13:K1000,"Fail",'Tên chức năng'!D13:D1000,"Major",'Tên chức năng'!L13:L1000,"Closed")+COUNTIFS('Tên API'!I13:I1000,"Fail",'Tên API'!D13:D1000,"Major",'Tên API'!J13:J1000,"Closed")+COUNTIFS('Tên API'!K13:K1000,"Fail",'Tên API'!D13:D1000,"Major",'Tên API'!L13:L1000,"Closed")</f>
        <v/>
      </c>
      <c r="E24" s="15">
        <f>COUNTIFS('Tên chức năng'!I13:I1000,"Fail",'Tên chức năng'!D13:D1000,"Minor",'Tên chức năng'!J13:J1000,"Closed")+COUNTIFS('Tên chức năng'!K13:K1000,"Fail",'Tên chức năng'!D13:D1000,"Minor",'Tên chức năng'!L13:L1000,"Closed")+COUNTIFS('Tên API'!I13:I1000,"Fail",'Tên API'!D13:D1000,"Minor",'Tên API'!J13:J1000,"Closed")+COUNTIFS('Tên API'!K13:K1000,"Fail",'Tên API'!D13:D1000,"Minor",'Tên API'!L13:L1000,"Closed")</f>
        <v/>
      </c>
      <c r="F24" s="15">
        <f>COUNTIFS('Tên chức năng'!I13:I1000,"Fail",'Tên chức năng'!D13:D1000,"Trivial",'Tên chức năng'!J13:J1000,"Closed")+COUNTIFS('Tên chức năng'!K13:K1000,"Fail",'Tên chức năng'!D13:D1000,"Trivial",'Tên chức năng'!L13:L1000,"Closed")+COUNTIFS('Tên API'!I13:I1000,"Fail",'Tên API'!D13:D1000,"Trivial",'Tên API'!J13:J1000,"Closed")+COUNTIFS('Tên API'!K13:K1000,"Fail",'Tên API'!D13:D1000,"Trivial",'Tên API'!L13:L1000,"Closed")</f>
        <v/>
      </c>
      <c r="G24" s="22">
        <f>SUM(C24:F24)</f>
        <v/>
      </c>
    </row>
    <row r="25">
      <c r="B25" s="21" t="inlineStr">
        <is>
          <t>Resolved</t>
        </is>
      </c>
      <c r="C25" s="15">
        <f>COUNTIFS('Tên chức năng'!I13:I1000,"Fail",'Tên chức năng'!D13:D1000,"Blocker",'Tên chức năng'!J13:J1000,"Resolved")+COUNTIFS('Tên chức năng'!K13:K1000,"Fail",'Tên chức năng'!D13:D1000,"Blocker",'Tên chức năng'!L13:L1000,"Resolved")+COUNTIFS('Tên API'!I13:I1000,"Fail",'Tên API'!D13:D1000,"Blocker",'Tên API'!J13:J1000,"Resolved")+COUNTIFS('Tên API'!K13:K1000,"Fail",'Tên API'!D13:D1000,"Blocker",'Tên API'!L13:L1000,"Resolved")</f>
        <v/>
      </c>
      <c r="D25" s="15">
        <f>COUNTIFS('Tên chức năng'!I13:I1000,"Fail",'Tên chức năng'!D13:D1000,"Major",'Tên chức năng'!J13:J1000,"Resolved")+COUNTIFS('Tên chức năng'!K13:K1000,"Fail",'Tên chức năng'!D13:D1000,"Major",'Tên chức năng'!L13:L1000,"Resolved")+COUNTIFS('Tên API'!I13:I1000,"Fail",'Tên API'!D13:D1000,"Major",'Tên API'!J13:J1000,"Resolved")+COUNTIFS('Tên API'!K13:K1000,"Fail",'Tên API'!D13:D1000,"Major",'Tên API'!L13:L1000,"Resolved")</f>
        <v/>
      </c>
      <c r="E25" s="15">
        <f>COUNTIFS('Tên chức năng'!I13:I1000,"Fail",'Tên chức năng'!D13:D1000,"Minor",'Tên chức năng'!J13:J1000,"Resolved")+COUNTIFS('Tên chức năng'!K13:K1000,"Fail",'Tên chức năng'!D13:D1000,"Minor",'Tên chức năng'!L13:L1000,"Resolved")+COUNTIFS('Tên API'!I13:I1000,"Fail",'Tên API'!D13:D1000,"Minor",'Tên API'!J13:J1000,"Resolved")+COUNTIFS('Tên API'!K13:K1000,"Fail",'Tên API'!D13:D1000,"Minor",'Tên API'!L13:L1000,"Resolved")</f>
        <v/>
      </c>
      <c r="F25" s="15">
        <f>COUNTIFS('Tên chức năng'!I13:I1000,"Fail",'Tên chức năng'!D13:D1000,"Trivial",'Tên chức năng'!J13:J1000,"Resolved")+COUNTIFS('Tên chức năng'!K13:K1000,"Fail",'Tên chức năng'!D13:D1000,"Trivial",'Tên chức năng'!L13:L1000,"Resolved")+COUNTIFS('Tên API'!I13:I1000,"Fail",'Tên API'!D13:D1000,"Trivial",'Tên API'!J13:J1000,"Resolved")+COUNTIFS('Tên API'!K13:K1000,"Fail",'Tên API'!D13:D1000,"Trivial",'Tên API'!L13:L1000,"Resolved")</f>
        <v/>
      </c>
      <c r="G25" s="22">
        <f>SUM(C25:F25)</f>
        <v/>
      </c>
    </row>
    <row r="26" ht="24" customHeight="1">
      <c r="B26" s="23" t="inlineStr">
        <is>
          <t>Mọi trạng thái</t>
        </is>
      </c>
      <c r="C26" s="18">
        <f>SUM(C22:C25)</f>
        <v/>
      </c>
      <c r="D26" s="18">
        <f>SUM(D22:D25)</f>
        <v/>
      </c>
      <c r="E26" s="18">
        <f>SUM(E22:E25)</f>
        <v/>
      </c>
      <c r="F26" s="18">
        <f>SUM(F22:F25)</f>
        <v/>
      </c>
      <c r="G26" s="18">
        <f>SUM(C26:F26)</f>
        <v/>
      </c>
    </row>
    <row r="28">
      <c r="B28" s="4" t="inlineStr">
        <is>
          <t>4. KẾT QUẢ THEO PHÂN HỆ (MODULE)</t>
        </is>
      </c>
    </row>
    <row r="29">
      <c r="B29" s="7" t="inlineStr">
        <is>
          <t>Phân hệ</t>
        </is>
      </c>
      <c r="C29" s="7" t="inlineStr">
        <is>
          <t>Tổng TC</t>
        </is>
      </c>
      <c r="D29" s="7" t="inlineStr">
        <is>
          <t>Pass</t>
        </is>
      </c>
      <c r="E29" s="7" t="inlineStr">
        <is>
          <t>Fail</t>
        </is>
      </c>
      <c r="F29" s="7" t="inlineStr">
        <is>
          <t>Blocked</t>
        </is>
      </c>
      <c r="G29" s="7" t="inlineStr">
        <is>
          <t>Pass rate</t>
        </is>
      </c>
    </row>
    <row r="30">
      <c r="B30" s="14" t="inlineStr">
        <is>
          <t>m01</t>
        </is>
      </c>
      <c r="C30" s="15">
        <f>COUNTIF('Tên chức năng'!B13:B1000,"[m01]*")+COUNTIF('Tên API'!B13:B1000,"[m01]*")</f>
        <v/>
      </c>
      <c r="D30" s="15">
        <f>COUNTIFS('Tên chức năng'!B13:B1000,"[m01]*",'Tên chức năng'!I13:I1000,"Pass")+COUNTIFS('Tên API'!B13:B1000,"[m01]*",'Tên API'!I13:I1000,"Pass")</f>
        <v/>
      </c>
      <c r="E30" s="15">
        <f>COUNTIFS('Tên chức năng'!B13:B1000,"[m01]*",'Tên chức năng'!I13:I1000,"Fail")+COUNTIFS('Tên API'!B13:B1000,"[m01]*",'Tên API'!I13:I1000,"Fail")</f>
        <v/>
      </c>
      <c r="F30" s="15">
        <f>COUNTIFS('Tên chức năng'!B13:B1000,"[m01]*",'Tên chức năng'!I13:I1000,"Blocked")+COUNTIFS('Tên API'!B13:B1000,"[m01]*",'Tên API'!I13:I1000,"Blocked")</f>
        <v/>
      </c>
      <c r="G30" s="16">
        <f>IFERROR(D30/(D30+E30),0)</f>
        <v/>
      </c>
    </row>
    <row r="31">
      <c r="B31" s="14" t="inlineStr">
        <is>
          <t>m02</t>
        </is>
      </c>
      <c r="C31" s="15">
        <f>COUNTIF('Tên chức năng'!B13:B1000,"[m02]*")+COUNTIF('Tên API'!B13:B1000,"[m02]*")</f>
        <v/>
      </c>
      <c r="D31" s="15">
        <f>COUNTIFS('Tên chức năng'!B13:B1000,"[m02]*",'Tên chức năng'!I13:I1000,"Pass")+COUNTIFS('Tên API'!B13:B1000,"[m02]*",'Tên API'!I13:I1000,"Pass")</f>
        <v/>
      </c>
      <c r="E31" s="15">
        <f>COUNTIFS('Tên chức năng'!B13:B1000,"[m02]*",'Tên chức năng'!I13:I1000,"Fail")+COUNTIFS('Tên API'!B13:B1000,"[m02]*",'Tên API'!I13:I1000,"Fail")</f>
        <v/>
      </c>
      <c r="F31" s="15">
        <f>COUNTIFS('Tên chức năng'!B13:B1000,"[m02]*",'Tên chức năng'!I13:I1000,"Blocked")+COUNTIFS('Tên API'!B13:B1000,"[m02]*",'Tên API'!I13:I1000,"Blocked")</f>
        <v/>
      </c>
      <c r="G31" s="16">
        <f>IFERROR(D31/(D31+E31),0)</f>
        <v/>
      </c>
    </row>
    <row r="32">
      <c r="B32" s="14" t="inlineStr">
        <is>
          <t>m03</t>
        </is>
      </c>
      <c r="C32" s="15">
        <f>COUNTIF('Tên chức năng'!B13:B1000,"[m03]*")+COUNTIF('Tên API'!B13:B1000,"[m03]*")</f>
        <v/>
      </c>
      <c r="D32" s="15">
        <f>COUNTIFS('Tên chức năng'!B13:B1000,"[m03]*",'Tên chức năng'!I13:I1000,"Pass")+COUNTIFS('Tên API'!B13:B1000,"[m03]*",'Tên API'!I13:I1000,"Pass")</f>
        <v/>
      </c>
      <c r="E32" s="15">
        <f>COUNTIFS('Tên chức năng'!B13:B1000,"[m03]*",'Tên chức năng'!I13:I1000,"Fail")+COUNTIFS('Tên API'!B13:B1000,"[m03]*",'Tên API'!I13:I1000,"Fail")</f>
        <v/>
      </c>
      <c r="F32" s="15">
        <f>COUNTIFS('Tên chức năng'!B13:B1000,"[m03]*",'Tên chức năng'!I13:I1000,"Blocked")+COUNTIFS('Tên API'!B13:B1000,"[m03]*",'Tên API'!I13:I1000,"Blocked")</f>
        <v/>
      </c>
      <c r="G32" s="16">
        <f>IFERROR(D32/(D32+E32),0)</f>
        <v/>
      </c>
    </row>
    <row r="33">
      <c r="B33" s="14" t="inlineStr">
        <is>
          <t>m04</t>
        </is>
      </c>
      <c r="C33" s="15">
        <f>COUNTIF('Tên chức năng'!B13:B1000,"[m04]*")+COUNTIF('Tên API'!B13:B1000,"[m04]*")</f>
        <v/>
      </c>
      <c r="D33" s="15">
        <f>COUNTIFS('Tên chức năng'!B13:B1000,"[m04]*",'Tên chức năng'!I13:I1000,"Pass")+COUNTIFS('Tên API'!B13:B1000,"[m04]*",'Tên API'!I13:I1000,"Pass")</f>
        <v/>
      </c>
      <c r="E33" s="15">
        <f>COUNTIFS('Tên chức năng'!B13:B1000,"[m04]*",'Tên chức năng'!I13:I1000,"Fail")+COUNTIFS('Tên API'!B13:B1000,"[m04]*",'Tên API'!I13:I1000,"Fail")</f>
        <v/>
      </c>
      <c r="F33" s="15">
        <f>COUNTIFS('Tên chức năng'!B13:B1000,"[m04]*",'Tên chức năng'!I13:I1000,"Blocked")+COUNTIFS('Tên API'!B13:B1000,"[m04]*",'Tên API'!I13:I1000,"Blocked")</f>
        <v/>
      </c>
      <c r="G33" s="16">
        <f>IFERROR(D33/(D33+E33),0)</f>
        <v/>
      </c>
    </row>
    <row r="34">
      <c r="B34" s="14" t="inlineStr">
        <is>
          <t>m05</t>
        </is>
      </c>
      <c r="C34" s="15">
        <f>COUNTIF('Tên chức năng'!B13:B1000,"[m05]*")+COUNTIF('Tên API'!B13:B1000,"[m05]*")</f>
        <v/>
      </c>
      <c r="D34" s="15">
        <f>COUNTIFS('Tên chức năng'!B13:B1000,"[m05]*",'Tên chức năng'!I13:I1000,"Pass")+COUNTIFS('Tên API'!B13:B1000,"[m05]*",'Tên API'!I13:I1000,"Pass")</f>
        <v/>
      </c>
      <c r="E34" s="15">
        <f>COUNTIFS('Tên chức năng'!B13:B1000,"[m05]*",'Tên chức năng'!I13:I1000,"Fail")+COUNTIFS('Tên API'!B13:B1000,"[m05]*",'Tên API'!I13:I1000,"Fail")</f>
        <v/>
      </c>
      <c r="F34" s="15">
        <f>COUNTIFS('Tên chức năng'!B13:B1000,"[m05]*",'Tên chức năng'!I13:I1000,"Blocked")+COUNTIFS('Tên API'!B13:B1000,"[m05]*",'Tên API'!I13:I1000,"Blocked")</f>
        <v/>
      </c>
      <c r="G34" s="16">
        <f>IFERROR(D34/(D34+E34),0)</f>
        <v/>
      </c>
    </row>
    <row r="35">
      <c r="B35" s="14" t="inlineStr">
        <is>
          <t>m06</t>
        </is>
      </c>
      <c r="C35" s="15">
        <f>COUNTIF('Tên chức năng'!B13:B1000,"[m06]*")+COUNTIF('Tên API'!B13:B1000,"[m06]*")</f>
        <v/>
      </c>
      <c r="D35" s="15">
        <f>COUNTIFS('Tên chức năng'!B13:B1000,"[m06]*",'Tên chức năng'!I13:I1000,"Pass")+COUNTIFS('Tên API'!B13:B1000,"[m06]*",'Tên API'!I13:I1000,"Pass")</f>
        <v/>
      </c>
      <c r="E35" s="15">
        <f>COUNTIFS('Tên chức năng'!B13:B1000,"[m06]*",'Tên chức năng'!I13:I1000,"Fail")+COUNTIFS('Tên API'!B13:B1000,"[m06]*",'Tên API'!I13:I1000,"Fail")</f>
        <v/>
      </c>
      <c r="F35" s="15">
        <f>COUNTIFS('Tên chức năng'!B13:B1000,"[m06]*",'Tên chức năng'!I13:I1000,"Blocked")+COUNTIFS('Tên API'!B13:B1000,"[m06]*",'Tên API'!I13:I1000,"Blocked")</f>
        <v/>
      </c>
      <c r="G35" s="16">
        <f>IFERROR(D35/(D35+E35),0)</f>
        <v/>
      </c>
    </row>
    <row r="36">
      <c r="B36" s="14" t="inlineStr">
        <is>
          <t>m07</t>
        </is>
      </c>
      <c r="C36" s="15">
        <f>COUNTIF('Tên chức năng'!B13:B1000,"[m07]*")+COUNTIF('Tên API'!B13:B1000,"[m07]*")</f>
        <v/>
      </c>
      <c r="D36" s="15">
        <f>COUNTIFS('Tên chức năng'!B13:B1000,"[m07]*",'Tên chức năng'!I13:I1000,"Pass")+COUNTIFS('Tên API'!B13:B1000,"[m07]*",'Tên API'!I13:I1000,"Pass")</f>
        <v/>
      </c>
      <c r="E36" s="15">
        <f>COUNTIFS('Tên chức năng'!B13:B1000,"[m07]*",'Tên chức năng'!I13:I1000,"Fail")+COUNTIFS('Tên API'!B13:B1000,"[m07]*",'Tên API'!I13:I1000,"Fail")</f>
        <v/>
      </c>
      <c r="F36" s="15">
        <f>COUNTIFS('Tên chức năng'!B13:B1000,"[m07]*",'Tên chức năng'!I13:I1000,"Blocked")+COUNTIFS('Tên API'!B13:B1000,"[m07]*",'Tên API'!I13:I1000,"Blocked")</f>
        <v/>
      </c>
      <c r="G36" s="16">
        <f>IFERROR(D36/(D36+E36),0)</f>
        <v/>
      </c>
    </row>
    <row r="37">
      <c r="B37" s="14" t="inlineStr">
        <is>
          <t>m08</t>
        </is>
      </c>
      <c r="C37" s="15">
        <f>COUNTIF('Tên chức năng'!B13:B1000,"[m08]*")+COUNTIF('Tên API'!B13:B1000,"[m08]*")</f>
        <v/>
      </c>
      <c r="D37" s="15">
        <f>COUNTIFS('Tên chức năng'!B13:B1000,"[m08]*",'Tên chức năng'!I13:I1000,"Pass")+COUNTIFS('Tên API'!B13:B1000,"[m08]*",'Tên API'!I13:I1000,"Pass")</f>
        <v/>
      </c>
      <c r="E37" s="15">
        <f>COUNTIFS('Tên chức năng'!B13:B1000,"[m08]*",'Tên chức năng'!I13:I1000,"Fail")+COUNTIFS('Tên API'!B13:B1000,"[m08]*",'Tên API'!I13:I1000,"Fail")</f>
        <v/>
      </c>
      <c r="F37" s="15">
        <f>COUNTIFS('Tên chức năng'!B13:B1000,"[m08]*",'Tên chức năng'!I13:I1000,"Blocked")+COUNTIFS('Tên API'!B13:B1000,"[m08]*",'Tên API'!I13:I1000,"Blocked")</f>
        <v/>
      </c>
      <c r="G37" s="16">
        <f>IFERROR(D37/(D37+E37),0)</f>
        <v/>
      </c>
    </row>
    <row r="38">
      <c r="B38" s="14" t="inlineStr">
        <is>
          <t>m09</t>
        </is>
      </c>
      <c r="C38" s="15">
        <f>COUNTIF('Tên chức năng'!B13:B1000,"[m09]*")+COUNTIF('Tên API'!B13:B1000,"[m09]*")</f>
        <v/>
      </c>
      <c r="D38" s="15">
        <f>COUNTIFS('Tên chức năng'!B13:B1000,"[m09]*",'Tên chức năng'!I13:I1000,"Pass")+COUNTIFS('Tên API'!B13:B1000,"[m09]*",'Tên API'!I13:I1000,"Pass")</f>
        <v/>
      </c>
      <c r="E38" s="15">
        <f>COUNTIFS('Tên chức năng'!B13:B1000,"[m09]*",'Tên chức năng'!I13:I1000,"Fail")+COUNTIFS('Tên API'!B13:B1000,"[m09]*",'Tên API'!I13:I1000,"Fail")</f>
        <v/>
      </c>
      <c r="F38" s="15">
        <f>COUNTIFS('Tên chức năng'!B13:B1000,"[m09]*",'Tên chức năng'!I13:I1000,"Blocked")+COUNTIFS('Tên API'!B13:B1000,"[m09]*",'Tên API'!I13:I1000,"Blocked")</f>
        <v/>
      </c>
      <c r="G38" s="16">
        <f>IFERROR(D38/(D38+E38),0)</f>
        <v/>
      </c>
    </row>
    <row r="39">
      <c r="B39" s="14" t="inlineStr">
        <is>
          <t>m10</t>
        </is>
      </c>
      <c r="C39" s="15">
        <f>COUNTIF('Tên chức năng'!B13:B1000,"[m10]*")+COUNTIF('Tên API'!B13:B1000,"[m10]*")</f>
        <v/>
      </c>
      <c r="D39" s="15">
        <f>COUNTIFS('Tên chức năng'!B13:B1000,"[m10]*",'Tên chức năng'!I13:I1000,"Pass")+COUNTIFS('Tên API'!B13:B1000,"[m10]*",'Tên API'!I13:I1000,"Pass")</f>
        <v/>
      </c>
      <c r="E39" s="15">
        <f>COUNTIFS('Tên chức năng'!B13:B1000,"[m10]*",'Tên chức năng'!I13:I1000,"Fail")+COUNTIFS('Tên API'!B13:B1000,"[m10]*",'Tên API'!I13:I1000,"Fail")</f>
        <v/>
      </c>
      <c r="F39" s="15">
        <f>COUNTIFS('Tên chức năng'!B13:B1000,"[m10]*",'Tên chức năng'!I13:I1000,"Blocked")+COUNTIFS('Tên API'!B13:B1000,"[m10]*",'Tên API'!I13:I1000,"Blocked")</f>
        <v/>
      </c>
      <c r="G39" s="16">
        <f>IFERROR(D39/(D39+E39),0)</f>
        <v/>
      </c>
    </row>
    <row r="40">
      <c r="B40" s="14" t="inlineStr">
        <is>
          <t>m11</t>
        </is>
      </c>
      <c r="C40" s="15">
        <f>COUNTIF('Tên chức năng'!B13:B1000,"[m11]*")+COUNTIF('Tên API'!B13:B1000,"[m11]*")</f>
        <v/>
      </c>
      <c r="D40" s="15">
        <f>COUNTIFS('Tên chức năng'!B13:B1000,"[m11]*",'Tên chức năng'!I13:I1000,"Pass")+COUNTIFS('Tên API'!B13:B1000,"[m11]*",'Tên API'!I13:I1000,"Pass")</f>
        <v/>
      </c>
      <c r="E40" s="15">
        <f>COUNTIFS('Tên chức năng'!B13:B1000,"[m11]*",'Tên chức năng'!I13:I1000,"Fail")+COUNTIFS('Tên API'!B13:B1000,"[m11]*",'Tên API'!I13:I1000,"Fail")</f>
        <v/>
      </c>
      <c r="F40" s="15">
        <f>COUNTIFS('Tên chức năng'!B13:B1000,"[m11]*",'Tên chức năng'!I13:I1000,"Blocked")+COUNTIFS('Tên API'!B13:B1000,"[m11]*",'Tên API'!I13:I1000,"Blocked")</f>
        <v/>
      </c>
      <c r="G40" s="16">
        <f>IFERROR(D40/(D40+E40),0)</f>
        <v/>
      </c>
    </row>
    <row r="41">
      <c r="B41" s="14" t="inlineStr">
        <is>
          <t>m12</t>
        </is>
      </c>
      <c r="C41" s="15">
        <f>COUNTIF('Tên chức năng'!B13:B1000,"[m12]*")+COUNTIF('Tên API'!B13:B1000,"[m12]*")</f>
        <v/>
      </c>
      <c r="D41" s="15">
        <f>COUNTIFS('Tên chức năng'!B13:B1000,"[m12]*",'Tên chức năng'!I13:I1000,"Pass")+COUNTIFS('Tên API'!B13:B1000,"[m12]*",'Tên API'!I13:I1000,"Pass")</f>
        <v/>
      </c>
      <c r="E41" s="15">
        <f>COUNTIFS('Tên chức năng'!B13:B1000,"[m12]*",'Tên chức năng'!I13:I1000,"Fail")+COUNTIFS('Tên API'!B13:B1000,"[m12]*",'Tên API'!I13:I1000,"Fail")</f>
        <v/>
      </c>
      <c r="F41" s="15">
        <f>COUNTIFS('Tên chức năng'!B13:B1000,"[m12]*",'Tên chức năng'!I13:I1000,"Blocked")+COUNTIFS('Tên API'!B13:B1000,"[m12]*",'Tên API'!I13:I1000,"Blocked")</f>
        <v/>
      </c>
      <c r="G41" s="16">
        <f>IFERROR(D41/(D41+E41),0)</f>
        <v/>
      </c>
    </row>
    <row r="42">
      <c r="B42" s="14" t="inlineStr">
        <is>
          <t>m13</t>
        </is>
      </c>
      <c r="C42" s="15">
        <f>COUNTIF('Tên chức năng'!B13:B1000,"[m13]*")+COUNTIF('Tên API'!B13:B1000,"[m13]*")</f>
        <v/>
      </c>
      <c r="D42" s="15">
        <f>COUNTIFS('Tên chức năng'!B13:B1000,"[m13]*",'Tên chức năng'!I13:I1000,"Pass")+COUNTIFS('Tên API'!B13:B1000,"[m13]*",'Tên API'!I13:I1000,"Pass")</f>
        <v/>
      </c>
      <c r="E42" s="15">
        <f>COUNTIFS('Tên chức năng'!B13:B1000,"[m13]*",'Tên chức năng'!I13:I1000,"Fail")+COUNTIFS('Tên API'!B13:B1000,"[m13]*",'Tên API'!I13:I1000,"Fail")</f>
        <v/>
      </c>
      <c r="F42" s="15">
        <f>COUNTIFS('Tên chức năng'!B13:B1000,"[m13]*",'Tên chức năng'!I13:I1000,"Blocked")+COUNTIFS('Tên API'!B13:B1000,"[m13]*",'Tên API'!I13:I1000,"Blocked")</f>
        <v/>
      </c>
      <c r="G42" s="16">
        <f>IFERROR(D42/(D42+E42),0)</f>
        <v/>
      </c>
    </row>
    <row r="45">
      <c r="B45" s="24" t="inlineStr">
        <is>
          <t>Quy ước màu Pass rate:</t>
        </is>
      </c>
    </row>
    <row r="46">
      <c r="B46" s="25" t="inlineStr">
        <is>
          <t>🟥 &lt; 70% (block)</t>
        </is>
      </c>
      <c r="C46" s="25" t="inlineStr">
        <is>
          <t>🟨 70-94% (warning)</t>
        </is>
      </c>
      <c r="E46" s="25" t="inlineStr">
        <is>
          <t>🟩 ≥ 95% (good)</t>
        </is>
      </c>
    </row>
  </sheetData>
  <mergeCells count="7">
    <mergeCell ref="B11:J11"/>
    <mergeCell ref="B19:J19"/>
    <mergeCell ref="B28:J28"/>
    <mergeCell ref="B45:J45"/>
    <mergeCell ref="C20:F20"/>
    <mergeCell ref="B4:J4"/>
    <mergeCell ref="B2:J2"/>
  </mergeCells>
  <conditionalFormatting sqref="I6:I8">
    <cfRule type="colorScale" priority="1">
      <colorScale>
        <cfvo type="num" val="0"/>
        <cfvo type="num" val="0.85"/>
        <cfvo type="num" val="1"/>
        <color rgb="00DC2626"/>
        <color rgb="00FFBF00"/>
        <color rgb="0016A34A"/>
      </colorScale>
    </cfRule>
  </conditionalFormatting>
  <conditionalFormatting sqref="J6:J8">
    <cfRule type="colorScale" priority="2">
      <colorScale>
        <cfvo type="num" val="0"/>
        <cfvo type="num" val="0.85"/>
        <cfvo type="num" val="1"/>
        <color rgb="00DC2626"/>
        <color rgb="00FFBF00"/>
        <color rgb="0016A34A"/>
      </colorScale>
    </cfRule>
  </conditionalFormatting>
  <conditionalFormatting sqref="G13:G16">
    <cfRule type="colorScale" priority="3">
      <colorScale>
        <cfvo type="num" val="0"/>
        <cfvo type="num" val="0.85"/>
        <cfvo type="num" val="1"/>
        <color rgb="00DC2626"/>
        <color rgb="00FFBF00"/>
        <color rgb="0016A34A"/>
      </colorScale>
    </cfRule>
  </conditionalFormatting>
  <conditionalFormatting sqref="C22:D26">
    <cfRule type="colorScale" priority="4">
      <colorScale>
        <cfvo type="num" val="0"/>
        <cfvo type="num" val="5"/>
        <cfvo type="num" val="20"/>
        <color rgb="0016A34A"/>
        <color rgb="00FFBF00"/>
        <color rgb="00DC2626"/>
      </colorScale>
    </cfRule>
  </conditionalFormatting>
  <conditionalFormatting sqref="G30:G42">
    <cfRule type="colorScale" priority="5">
      <colorScale>
        <cfvo type="num" val="0"/>
        <cfvo type="num" val="0.85"/>
        <cfvo type="num" val="1"/>
        <color rgb="00DC2626"/>
        <color rgb="00FFBF00"/>
        <color rgb="0016A34A"/>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N62"/>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0" customWidth="1" min="1" max="1"/>
    <col width="38" customWidth="1" min="2" max="2"/>
    <col width="12" customWidth="1" min="3" max="3"/>
    <col width="13" customWidth="1" min="4" max="4"/>
    <col width="28" customWidth="1" min="5" max="5"/>
    <col width="22" customWidth="1" min="6" max="6"/>
    <col width="50" customWidth="1" min="7" max="7"/>
    <col width="50" customWidth="1" min="8" max="8"/>
    <col width="11" customWidth="1" min="9" max="9"/>
    <col width="13" customWidth="1" min="10" max="10"/>
    <col width="11" customWidth="1" min="11" max="11"/>
    <col width="13" customWidth="1" min="12" max="12"/>
    <col width="11" customWidth="1" min="13" max="13"/>
    <col width="22" customWidth="1" min="14" max="14"/>
  </cols>
  <sheetData>
    <row r="1" ht="30" customHeight="1">
      <c r="A1" s="13" t="inlineStr">
        <is>
          <t>TÊN CHỨC NĂNG</t>
        </is>
      </c>
    </row>
    <row r="2">
      <c r="A2" s="26" t="inlineStr">
        <is>
          <t>Tên hệ thống:</t>
        </is>
      </c>
      <c r="B2" s="14" t="inlineStr"/>
    </row>
    <row r="3">
      <c r="A3" s="26" t="inlineStr">
        <is>
          <t>Phiên bản:</t>
        </is>
      </c>
      <c r="B3" s="14" t="inlineStr"/>
    </row>
    <row r="4">
      <c r="A4" s="26" t="inlineStr">
        <is>
          <t>Người chuẩn bị:</t>
        </is>
      </c>
      <c r="B4" s="14" t="inlineStr"/>
    </row>
    <row r="11" ht="26" customHeight="1">
      <c r="A11" s="7" t="inlineStr">
        <is>
          <t>Mã TC</t>
        </is>
      </c>
      <c r="B11" s="7" t="inlineStr">
        <is>
          <t>Mục đích</t>
        </is>
      </c>
      <c r="C11" s="7" t="inlineStr">
        <is>
          <t>Mức ưu tiên</t>
        </is>
      </c>
      <c r="D11" s="7" t="inlineStr">
        <is>
          <t>Mức nghiêm trọng</t>
        </is>
      </c>
      <c r="E11" s="7" t="inlineStr">
        <is>
          <t>Tiền điều kiện</t>
        </is>
      </c>
      <c r="F11" s="7" t="inlineStr">
        <is>
          <t>Dữ liệu test</t>
        </is>
      </c>
      <c r="G11" s="7" t="inlineStr">
        <is>
          <t>Các bước thực hiện</t>
        </is>
      </c>
      <c r="H11" s="7" t="inlineStr">
        <is>
          <t>Kết quả mong đợi</t>
        </is>
      </c>
      <c r="I11" s="7" t="inlineStr">
        <is>
          <t>Kết quả lần 1</t>
        </is>
      </c>
      <c r="K11" s="7" t="inlineStr">
        <is>
          <t>Kết quả lần 2</t>
        </is>
      </c>
      <c r="M11" s="7" t="inlineStr">
        <is>
          <t>ID Bug</t>
        </is>
      </c>
      <c r="N11" s="7" t="inlineStr">
        <is>
          <t>Ghi chú</t>
        </is>
      </c>
    </row>
    <row r="12" ht="24" customHeight="1">
      <c r="I12" s="7" t="inlineStr">
        <is>
          <t>Kết quả</t>
        </is>
      </c>
      <c r="J12" s="7" t="inlineStr">
        <is>
          <t>Trạng thái</t>
        </is>
      </c>
      <c r="K12" s="7" t="inlineStr">
        <is>
          <t>Kết quả</t>
        </is>
      </c>
      <c r="L12" s="7" t="inlineStr">
        <is>
          <t>Trạng thái</t>
        </is>
      </c>
    </row>
    <row r="13">
      <c r="A13" s="15" t="n"/>
      <c r="B13" s="27" t="n"/>
      <c r="C13" s="15" t="n"/>
      <c r="D13" s="15" t="n"/>
      <c r="E13" s="27" t="n"/>
      <c r="F13" s="27" t="n"/>
      <c r="G13" s="27" t="n"/>
      <c r="H13" s="27" t="n"/>
      <c r="I13" s="15" t="n"/>
      <c r="J13" s="15" t="n"/>
      <c r="K13" s="15" t="n"/>
      <c r="L13" s="15" t="n"/>
      <c r="M13" s="15" t="n"/>
      <c r="N13" s="27" t="n"/>
    </row>
    <row r="14">
      <c r="A14" s="15" t="n"/>
      <c r="B14" s="27" t="n"/>
      <c r="C14" s="15" t="n"/>
      <c r="D14" s="15" t="n"/>
      <c r="E14" s="27" t="n"/>
      <c r="F14" s="27" t="n"/>
      <c r="G14" s="27" t="n"/>
      <c r="H14" s="27" t="n"/>
      <c r="I14" s="15" t="n"/>
      <c r="J14" s="15" t="n"/>
      <c r="K14" s="15" t="n"/>
      <c r="L14" s="15" t="n"/>
      <c r="M14" s="15" t="n"/>
      <c r="N14" s="27" t="n"/>
    </row>
    <row r="15">
      <c r="A15" s="15" t="n"/>
      <c r="B15" s="27" t="n"/>
      <c r="C15" s="15" t="n"/>
      <c r="D15" s="15" t="n"/>
      <c r="E15" s="27" t="n"/>
      <c r="F15" s="27" t="n"/>
      <c r="G15" s="27" t="n"/>
      <c r="H15" s="27" t="n"/>
      <c r="I15" s="15" t="n"/>
      <c r="J15" s="15" t="n"/>
      <c r="K15" s="15" t="n"/>
      <c r="L15" s="15" t="n"/>
      <c r="M15" s="15" t="n"/>
      <c r="N15" s="27" t="n"/>
    </row>
    <row r="16">
      <c r="A16" s="15" t="n"/>
      <c r="B16" s="27" t="n"/>
      <c r="C16" s="15" t="n"/>
      <c r="D16" s="15" t="n"/>
      <c r="E16" s="27" t="n"/>
      <c r="F16" s="27" t="n"/>
      <c r="G16" s="27" t="n"/>
      <c r="H16" s="27" t="n"/>
      <c r="I16" s="15" t="n"/>
      <c r="J16" s="15" t="n"/>
      <c r="K16" s="15" t="n"/>
      <c r="L16" s="15" t="n"/>
      <c r="M16" s="15" t="n"/>
      <c r="N16" s="27" t="n"/>
    </row>
    <row r="17">
      <c r="A17" s="15" t="n"/>
      <c r="B17" s="27" t="n"/>
      <c r="C17" s="15" t="n"/>
      <c r="D17" s="15" t="n"/>
      <c r="E17" s="27" t="n"/>
      <c r="F17" s="27" t="n"/>
      <c r="G17" s="27" t="n"/>
      <c r="H17" s="27" t="n"/>
      <c r="I17" s="15" t="n"/>
      <c r="J17" s="15" t="n"/>
      <c r="K17" s="15" t="n"/>
      <c r="L17" s="15" t="n"/>
      <c r="M17" s="15" t="n"/>
      <c r="N17" s="27" t="n"/>
    </row>
    <row r="18">
      <c r="A18" s="15" t="n"/>
      <c r="B18" s="27" t="n"/>
      <c r="C18" s="15" t="n"/>
      <c r="D18" s="15" t="n"/>
      <c r="E18" s="27" t="n"/>
      <c r="F18" s="27" t="n"/>
      <c r="G18" s="27" t="n"/>
      <c r="H18" s="27" t="n"/>
      <c r="I18" s="15" t="n"/>
      <c r="J18" s="15" t="n"/>
      <c r="K18" s="15" t="n"/>
      <c r="L18" s="15" t="n"/>
      <c r="M18" s="15" t="n"/>
      <c r="N18" s="27" t="n"/>
    </row>
    <row r="19">
      <c r="A19" s="15" t="n"/>
      <c r="B19" s="27" t="n"/>
      <c r="C19" s="15" t="n"/>
      <c r="D19" s="15" t="n"/>
      <c r="E19" s="27" t="n"/>
      <c r="F19" s="27" t="n"/>
      <c r="G19" s="27" t="n"/>
      <c r="H19" s="27" t="n"/>
      <c r="I19" s="15" t="n"/>
      <c r="J19" s="15" t="n"/>
      <c r="K19" s="15" t="n"/>
      <c r="L19" s="15" t="n"/>
      <c r="M19" s="15" t="n"/>
      <c r="N19" s="27" t="n"/>
    </row>
    <row r="20">
      <c r="A20" s="15" t="n"/>
      <c r="B20" s="27" t="n"/>
      <c r="C20" s="15" t="n"/>
      <c r="D20" s="15" t="n"/>
      <c r="E20" s="27" t="n"/>
      <c r="F20" s="27" t="n"/>
      <c r="G20" s="27" t="n"/>
      <c r="H20" s="27" t="n"/>
      <c r="I20" s="15" t="n"/>
      <c r="J20" s="15" t="n"/>
      <c r="K20" s="15" t="n"/>
      <c r="L20" s="15" t="n"/>
      <c r="M20" s="15" t="n"/>
      <c r="N20" s="27" t="n"/>
    </row>
    <row r="21">
      <c r="A21" s="15" t="n"/>
      <c r="B21" s="27" t="n"/>
      <c r="C21" s="15" t="n"/>
      <c r="D21" s="15" t="n"/>
      <c r="E21" s="27" t="n"/>
      <c r="F21" s="27" t="n"/>
      <c r="G21" s="27" t="n"/>
      <c r="H21" s="27" t="n"/>
      <c r="I21" s="15" t="n"/>
      <c r="J21" s="15" t="n"/>
      <c r="K21" s="15" t="n"/>
      <c r="L21" s="15" t="n"/>
      <c r="M21" s="15" t="n"/>
      <c r="N21" s="27" t="n"/>
    </row>
    <row r="22">
      <c r="A22" s="15" t="n"/>
      <c r="B22" s="27" t="n"/>
      <c r="C22" s="15" t="n"/>
      <c r="D22" s="15" t="n"/>
      <c r="E22" s="27" t="n"/>
      <c r="F22" s="27" t="n"/>
      <c r="G22" s="27" t="n"/>
      <c r="H22" s="27" t="n"/>
      <c r="I22" s="15" t="n"/>
      <c r="J22" s="15" t="n"/>
      <c r="K22" s="15" t="n"/>
      <c r="L22" s="15" t="n"/>
      <c r="M22" s="15" t="n"/>
      <c r="N22" s="27" t="n"/>
    </row>
    <row r="23">
      <c r="A23" s="15" t="n"/>
      <c r="B23" s="27" t="n"/>
      <c r="C23" s="15" t="n"/>
      <c r="D23" s="15" t="n"/>
      <c r="E23" s="27" t="n"/>
      <c r="F23" s="27" t="n"/>
      <c r="G23" s="27" t="n"/>
      <c r="H23" s="27" t="n"/>
      <c r="I23" s="15" t="n"/>
      <c r="J23" s="15" t="n"/>
      <c r="K23" s="15" t="n"/>
      <c r="L23" s="15" t="n"/>
      <c r="M23" s="15" t="n"/>
      <c r="N23" s="27" t="n"/>
    </row>
    <row r="24">
      <c r="A24" s="15" t="n"/>
      <c r="B24" s="27" t="n"/>
      <c r="C24" s="15" t="n"/>
      <c r="D24" s="15" t="n"/>
      <c r="E24" s="27" t="n"/>
      <c r="F24" s="27" t="n"/>
      <c r="G24" s="27" t="n"/>
      <c r="H24" s="27" t="n"/>
      <c r="I24" s="15" t="n"/>
      <c r="J24" s="15" t="n"/>
      <c r="K24" s="15" t="n"/>
      <c r="L24" s="15" t="n"/>
      <c r="M24" s="15" t="n"/>
      <c r="N24" s="27" t="n"/>
    </row>
    <row r="25">
      <c r="A25" s="15" t="n"/>
      <c r="B25" s="27" t="n"/>
      <c r="C25" s="15" t="n"/>
      <c r="D25" s="15" t="n"/>
      <c r="E25" s="27" t="n"/>
      <c r="F25" s="27" t="n"/>
      <c r="G25" s="27" t="n"/>
      <c r="H25" s="27" t="n"/>
      <c r="I25" s="15" t="n"/>
      <c r="J25" s="15" t="n"/>
      <c r="K25" s="15" t="n"/>
      <c r="L25" s="15" t="n"/>
      <c r="M25" s="15" t="n"/>
      <c r="N25" s="27" t="n"/>
    </row>
    <row r="26">
      <c r="A26" s="15" t="n"/>
      <c r="B26" s="27" t="n"/>
      <c r="C26" s="15" t="n"/>
      <c r="D26" s="15" t="n"/>
      <c r="E26" s="27" t="n"/>
      <c r="F26" s="27" t="n"/>
      <c r="G26" s="27" t="n"/>
      <c r="H26" s="27" t="n"/>
      <c r="I26" s="15" t="n"/>
      <c r="J26" s="15" t="n"/>
      <c r="K26" s="15" t="n"/>
      <c r="L26" s="15" t="n"/>
      <c r="M26" s="15" t="n"/>
      <c r="N26" s="27" t="n"/>
    </row>
    <row r="27">
      <c r="A27" s="15" t="n"/>
      <c r="B27" s="27" t="n"/>
      <c r="C27" s="15" t="n"/>
      <c r="D27" s="15" t="n"/>
      <c r="E27" s="27" t="n"/>
      <c r="F27" s="27" t="n"/>
      <c r="G27" s="27" t="n"/>
      <c r="H27" s="27" t="n"/>
      <c r="I27" s="15" t="n"/>
      <c r="J27" s="15" t="n"/>
      <c r="K27" s="15" t="n"/>
      <c r="L27" s="15" t="n"/>
      <c r="M27" s="15" t="n"/>
      <c r="N27" s="27" t="n"/>
    </row>
    <row r="28">
      <c r="A28" s="15" t="n"/>
      <c r="B28" s="27" t="n"/>
      <c r="C28" s="15" t="n"/>
      <c r="D28" s="15" t="n"/>
      <c r="E28" s="27" t="n"/>
      <c r="F28" s="27" t="n"/>
      <c r="G28" s="27" t="n"/>
      <c r="H28" s="27" t="n"/>
      <c r="I28" s="15" t="n"/>
      <c r="J28" s="15" t="n"/>
      <c r="K28" s="15" t="n"/>
      <c r="L28" s="15" t="n"/>
      <c r="M28" s="15" t="n"/>
      <c r="N28" s="27" t="n"/>
    </row>
    <row r="29">
      <c r="A29" s="15" t="n"/>
      <c r="B29" s="27" t="n"/>
      <c r="C29" s="15" t="n"/>
      <c r="D29" s="15" t="n"/>
      <c r="E29" s="27" t="n"/>
      <c r="F29" s="27" t="n"/>
      <c r="G29" s="27" t="n"/>
      <c r="H29" s="27" t="n"/>
      <c r="I29" s="15" t="n"/>
      <c r="J29" s="15" t="n"/>
      <c r="K29" s="15" t="n"/>
      <c r="L29" s="15" t="n"/>
      <c r="M29" s="15" t="n"/>
      <c r="N29" s="27" t="n"/>
    </row>
    <row r="30">
      <c r="A30" s="15" t="n"/>
      <c r="B30" s="27" t="n"/>
      <c r="C30" s="15" t="n"/>
      <c r="D30" s="15" t="n"/>
      <c r="E30" s="27" t="n"/>
      <c r="F30" s="27" t="n"/>
      <c r="G30" s="27" t="n"/>
      <c r="H30" s="27" t="n"/>
      <c r="I30" s="15" t="n"/>
      <c r="J30" s="15" t="n"/>
      <c r="K30" s="15" t="n"/>
      <c r="L30" s="15" t="n"/>
      <c r="M30" s="15" t="n"/>
      <c r="N30" s="27" t="n"/>
    </row>
    <row r="31">
      <c r="A31" s="15" t="n"/>
      <c r="B31" s="27" t="n"/>
      <c r="C31" s="15" t="n"/>
      <c r="D31" s="15" t="n"/>
      <c r="E31" s="27" t="n"/>
      <c r="F31" s="27" t="n"/>
      <c r="G31" s="27" t="n"/>
      <c r="H31" s="27" t="n"/>
      <c r="I31" s="15" t="n"/>
      <c r="J31" s="15" t="n"/>
      <c r="K31" s="15" t="n"/>
      <c r="L31" s="15" t="n"/>
      <c r="M31" s="15" t="n"/>
      <c r="N31" s="27" t="n"/>
    </row>
    <row r="32">
      <c r="A32" s="15" t="n"/>
      <c r="B32" s="27" t="n"/>
      <c r="C32" s="15" t="n"/>
      <c r="D32" s="15" t="n"/>
      <c r="E32" s="27" t="n"/>
      <c r="F32" s="27" t="n"/>
      <c r="G32" s="27" t="n"/>
      <c r="H32" s="27" t="n"/>
      <c r="I32" s="15" t="n"/>
      <c r="J32" s="15" t="n"/>
      <c r="K32" s="15" t="n"/>
      <c r="L32" s="15" t="n"/>
      <c r="M32" s="15" t="n"/>
      <c r="N32" s="27" t="n"/>
    </row>
    <row r="33">
      <c r="A33" s="15" t="n"/>
      <c r="B33" s="27" t="n"/>
      <c r="C33" s="15" t="n"/>
      <c r="D33" s="15" t="n"/>
      <c r="E33" s="27" t="n"/>
      <c r="F33" s="27" t="n"/>
      <c r="G33" s="27" t="n"/>
      <c r="H33" s="27" t="n"/>
      <c r="I33" s="15" t="n"/>
      <c r="J33" s="15" t="n"/>
      <c r="K33" s="15" t="n"/>
      <c r="L33" s="15" t="n"/>
      <c r="M33" s="15" t="n"/>
      <c r="N33" s="27" t="n"/>
    </row>
    <row r="34">
      <c r="A34" s="15" t="n"/>
      <c r="B34" s="27" t="n"/>
      <c r="C34" s="15" t="n"/>
      <c r="D34" s="15" t="n"/>
      <c r="E34" s="27" t="n"/>
      <c r="F34" s="27" t="n"/>
      <c r="G34" s="27" t="n"/>
      <c r="H34" s="27" t="n"/>
      <c r="I34" s="15" t="n"/>
      <c r="J34" s="15" t="n"/>
      <c r="K34" s="15" t="n"/>
      <c r="L34" s="15" t="n"/>
      <c r="M34" s="15" t="n"/>
      <c r="N34" s="27" t="n"/>
    </row>
    <row r="35">
      <c r="A35" s="15" t="n"/>
      <c r="B35" s="27" t="n"/>
      <c r="C35" s="15" t="n"/>
      <c r="D35" s="15" t="n"/>
      <c r="E35" s="27" t="n"/>
      <c r="F35" s="27" t="n"/>
      <c r="G35" s="27" t="n"/>
      <c r="H35" s="27" t="n"/>
      <c r="I35" s="15" t="n"/>
      <c r="J35" s="15" t="n"/>
      <c r="K35" s="15" t="n"/>
      <c r="L35" s="15" t="n"/>
      <c r="M35" s="15" t="n"/>
      <c r="N35" s="27" t="n"/>
    </row>
    <row r="36">
      <c r="A36" s="15" t="n"/>
      <c r="B36" s="27" t="n"/>
      <c r="C36" s="15" t="n"/>
      <c r="D36" s="15" t="n"/>
      <c r="E36" s="27" t="n"/>
      <c r="F36" s="27" t="n"/>
      <c r="G36" s="27" t="n"/>
      <c r="H36" s="27" t="n"/>
      <c r="I36" s="15" t="n"/>
      <c r="J36" s="15" t="n"/>
      <c r="K36" s="15" t="n"/>
      <c r="L36" s="15" t="n"/>
      <c r="M36" s="15" t="n"/>
      <c r="N36" s="27" t="n"/>
    </row>
    <row r="37">
      <c r="A37" s="15" t="n"/>
      <c r="B37" s="27" t="n"/>
      <c r="C37" s="15" t="n"/>
      <c r="D37" s="15" t="n"/>
      <c r="E37" s="27" t="n"/>
      <c r="F37" s="27" t="n"/>
      <c r="G37" s="27" t="n"/>
      <c r="H37" s="27" t="n"/>
      <c r="I37" s="15" t="n"/>
      <c r="J37" s="15" t="n"/>
      <c r="K37" s="15" t="n"/>
      <c r="L37" s="15" t="n"/>
      <c r="M37" s="15" t="n"/>
      <c r="N37" s="27" t="n"/>
    </row>
    <row r="38">
      <c r="A38" s="15" t="n"/>
      <c r="B38" s="27" t="n"/>
      <c r="C38" s="15" t="n"/>
      <c r="D38" s="15" t="n"/>
      <c r="E38" s="27" t="n"/>
      <c r="F38" s="27" t="n"/>
      <c r="G38" s="27" t="n"/>
      <c r="H38" s="27" t="n"/>
      <c r="I38" s="15" t="n"/>
      <c r="J38" s="15" t="n"/>
      <c r="K38" s="15" t="n"/>
      <c r="L38" s="15" t="n"/>
      <c r="M38" s="15" t="n"/>
      <c r="N38" s="27" t="n"/>
    </row>
    <row r="39">
      <c r="A39" s="15" t="n"/>
      <c r="B39" s="27" t="n"/>
      <c r="C39" s="15" t="n"/>
      <c r="D39" s="15" t="n"/>
      <c r="E39" s="27" t="n"/>
      <c r="F39" s="27" t="n"/>
      <c r="G39" s="27" t="n"/>
      <c r="H39" s="27" t="n"/>
      <c r="I39" s="15" t="n"/>
      <c r="J39" s="15" t="n"/>
      <c r="K39" s="15" t="n"/>
      <c r="L39" s="15" t="n"/>
      <c r="M39" s="15" t="n"/>
      <c r="N39" s="27" t="n"/>
    </row>
    <row r="40">
      <c r="A40" s="15" t="n"/>
      <c r="B40" s="27" t="n"/>
      <c r="C40" s="15" t="n"/>
      <c r="D40" s="15" t="n"/>
      <c r="E40" s="27" t="n"/>
      <c r="F40" s="27" t="n"/>
      <c r="G40" s="27" t="n"/>
      <c r="H40" s="27" t="n"/>
      <c r="I40" s="15" t="n"/>
      <c r="J40" s="15" t="n"/>
      <c r="K40" s="15" t="n"/>
      <c r="L40" s="15" t="n"/>
      <c r="M40" s="15" t="n"/>
      <c r="N40" s="27" t="n"/>
    </row>
    <row r="41">
      <c r="A41" s="15" t="n"/>
      <c r="B41" s="27" t="n"/>
      <c r="C41" s="15" t="n"/>
      <c r="D41" s="15" t="n"/>
      <c r="E41" s="27" t="n"/>
      <c r="F41" s="27" t="n"/>
      <c r="G41" s="27" t="n"/>
      <c r="H41" s="27" t="n"/>
      <c r="I41" s="15" t="n"/>
      <c r="J41" s="15" t="n"/>
      <c r="K41" s="15" t="n"/>
      <c r="L41" s="15" t="n"/>
      <c r="M41" s="15" t="n"/>
      <c r="N41" s="27" t="n"/>
    </row>
    <row r="42">
      <c r="A42" s="15" t="n"/>
      <c r="B42" s="27" t="n"/>
      <c r="C42" s="15" t="n"/>
      <c r="D42" s="15" t="n"/>
      <c r="E42" s="27" t="n"/>
      <c r="F42" s="27" t="n"/>
      <c r="G42" s="27" t="n"/>
      <c r="H42" s="27" t="n"/>
      <c r="I42" s="15" t="n"/>
      <c r="J42" s="15" t="n"/>
      <c r="K42" s="15" t="n"/>
      <c r="L42" s="15" t="n"/>
      <c r="M42" s="15" t="n"/>
      <c r="N42" s="27" t="n"/>
    </row>
    <row r="43">
      <c r="A43" s="15" t="n"/>
      <c r="B43" s="27" t="n"/>
      <c r="C43" s="15" t="n"/>
      <c r="D43" s="15" t="n"/>
      <c r="E43" s="27" t="n"/>
      <c r="F43" s="27" t="n"/>
      <c r="G43" s="27" t="n"/>
      <c r="H43" s="27" t="n"/>
      <c r="I43" s="15" t="n"/>
      <c r="J43" s="15" t="n"/>
      <c r="K43" s="15" t="n"/>
      <c r="L43" s="15" t="n"/>
      <c r="M43" s="15" t="n"/>
      <c r="N43" s="27" t="n"/>
    </row>
    <row r="44">
      <c r="A44" s="15" t="n"/>
      <c r="B44" s="27" t="n"/>
      <c r="C44" s="15" t="n"/>
      <c r="D44" s="15" t="n"/>
      <c r="E44" s="27" t="n"/>
      <c r="F44" s="27" t="n"/>
      <c r="G44" s="27" t="n"/>
      <c r="H44" s="27" t="n"/>
      <c r="I44" s="15" t="n"/>
      <c r="J44" s="15" t="n"/>
      <c r="K44" s="15" t="n"/>
      <c r="L44" s="15" t="n"/>
      <c r="M44" s="15" t="n"/>
      <c r="N44" s="27" t="n"/>
    </row>
    <row r="45">
      <c r="A45" s="15" t="n"/>
      <c r="B45" s="27" t="n"/>
      <c r="C45" s="15" t="n"/>
      <c r="D45" s="15" t="n"/>
      <c r="E45" s="27" t="n"/>
      <c r="F45" s="27" t="n"/>
      <c r="G45" s="27" t="n"/>
      <c r="H45" s="27" t="n"/>
      <c r="I45" s="15" t="n"/>
      <c r="J45" s="15" t="n"/>
      <c r="K45" s="15" t="n"/>
      <c r="L45" s="15" t="n"/>
      <c r="M45" s="15" t="n"/>
      <c r="N45" s="27" t="n"/>
    </row>
    <row r="46">
      <c r="A46" s="15" t="n"/>
      <c r="B46" s="27" t="n"/>
      <c r="C46" s="15" t="n"/>
      <c r="D46" s="15" t="n"/>
      <c r="E46" s="27" t="n"/>
      <c r="F46" s="27" t="n"/>
      <c r="G46" s="27" t="n"/>
      <c r="H46" s="27" t="n"/>
      <c r="I46" s="15" t="n"/>
      <c r="J46" s="15" t="n"/>
      <c r="K46" s="15" t="n"/>
      <c r="L46" s="15" t="n"/>
      <c r="M46" s="15" t="n"/>
      <c r="N46" s="27" t="n"/>
    </row>
    <row r="47">
      <c r="A47" s="15" t="n"/>
      <c r="B47" s="27" t="n"/>
      <c r="C47" s="15" t="n"/>
      <c r="D47" s="15" t="n"/>
      <c r="E47" s="27" t="n"/>
      <c r="F47" s="27" t="n"/>
      <c r="G47" s="27" t="n"/>
      <c r="H47" s="27" t="n"/>
      <c r="I47" s="15" t="n"/>
      <c r="J47" s="15" t="n"/>
      <c r="K47" s="15" t="n"/>
      <c r="L47" s="15" t="n"/>
      <c r="M47" s="15" t="n"/>
      <c r="N47" s="27" t="n"/>
    </row>
    <row r="48">
      <c r="A48" s="15" t="n"/>
      <c r="B48" s="27" t="n"/>
      <c r="C48" s="15" t="n"/>
      <c r="D48" s="15" t="n"/>
      <c r="E48" s="27" t="n"/>
      <c r="F48" s="27" t="n"/>
      <c r="G48" s="27" t="n"/>
      <c r="H48" s="27" t="n"/>
      <c r="I48" s="15" t="n"/>
      <c r="J48" s="15" t="n"/>
      <c r="K48" s="15" t="n"/>
      <c r="L48" s="15" t="n"/>
      <c r="M48" s="15" t="n"/>
      <c r="N48" s="27" t="n"/>
    </row>
    <row r="49">
      <c r="A49" s="15" t="n"/>
      <c r="B49" s="27" t="n"/>
      <c r="C49" s="15" t="n"/>
      <c r="D49" s="15" t="n"/>
      <c r="E49" s="27" t="n"/>
      <c r="F49" s="27" t="n"/>
      <c r="G49" s="27" t="n"/>
      <c r="H49" s="27" t="n"/>
      <c r="I49" s="15" t="n"/>
      <c r="J49" s="15" t="n"/>
      <c r="K49" s="15" t="n"/>
      <c r="L49" s="15" t="n"/>
      <c r="M49" s="15" t="n"/>
      <c r="N49" s="27" t="n"/>
    </row>
    <row r="50">
      <c r="A50" s="15" t="n"/>
      <c r="B50" s="27" t="n"/>
      <c r="C50" s="15" t="n"/>
      <c r="D50" s="15" t="n"/>
      <c r="E50" s="27" t="n"/>
      <c r="F50" s="27" t="n"/>
      <c r="G50" s="27" t="n"/>
      <c r="H50" s="27" t="n"/>
      <c r="I50" s="15" t="n"/>
      <c r="J50" s="15" t="n"/>
      <c r="K50" s="15" t="n"/>
      <c r="L50" s="15" t="n"/>
      <c r="M50" s="15" t="n"/>
      <c r="N50" s="27" t="n"/>
    </row>
    <row r="51">
      <c r="A51" s="15" t="n"/>
      <c r="B51" s="27" t="n"/>
      <c r="C51" s="15" t="n"/>
      <c r="D51" s="15" t="n"/>
      <c r="E51" s="27" t="n"/>
      <c r="F51" s="27" t="n"/>
      <c r="G51" s="27" t="n"/>
      <c r="H51" s="27" t="n"/>
      <c r="I51" s="15" t="n"/>
      <c r="J51" s="15" t="n"/>
      <c r="K51" s="15" t="n"/>
      <c r="L51" s="15" t="n"/>
      <c r="M51" s="15" t="n"/>
      <c r="N51" s="27" t="n"/>
    </row>
    <row r="52">
      <c r="A52" s="15" t="n"/>
      <c r="B52" s="27" t="n"/>
      <c r="C52" s="15" t="n"/>
      <c r="D52" s="15" t="n"/>
      <c r="E52" s="27" t="n"/>
      <c r="F52" s="27" t="n"/>
      <c r="G52" s="27" t="n"/>
      <c r="H52" s="27" t="n"/>
      <c r="I52" s="15" t="n"/>
      <c r="J52" s="15" t="n"/>
      <c r="K52" s="15" t="n"/>
      <c r="L52" s="15" t="n"/>
      <c r="M52" s="15" t="n"/>
      <c r="N52" s="27" t="n"/>
    </row>
    <row r="53">
      <c r="A53" s="15" t="n"/>
      <c r="B53" s="27" t="n"/>
      <c r="C53" s="15" t="n"/>
      <c r="D53" s="15" t="n"/>
      <c r="E53" s="27" t="n"/>
      <c r="F53" s="27" t="n"/>
      <c r="G53" s="27" t="n"/>
      <c r="H53" s="27" t="n"/>
      <c r="I53" s="15" t="n"/>
      <c r="J53" s="15" t="n"/>
      <c r="K53" s="15" t="n"/>
      <c r="L53" s="15" t="n"/>
      <c r="M53" s="15" t="n"/>
      <c r="N53" s="27" t="n"/>
    </row>
    <row r="54">
      <c r="A54" s="15" t="n"/>
      <c r="B54" s="27" t="n"/>
      <c r="C54" s="15" t="n"/>
      <c r="D54" s="15" t="n"/>
      <c r="E54" s="27" t="n"/>
      <c r="F54" s="27" t="n"/>
      <c r="G54" s="27" t="n"/>
      <c r="H54" s="27" t="n"/>
      <c r="I54" s="15" t="n"/>
      <c r="J54" s="15" t="n"/>
      <c r="K54" s="15" t="n"/>
      <c r="L54" s="15" t="n"/>
      <c r="M54" s="15" t="n"/>
      <c r="N54" s="27" t="n"/>
    </row>
    <row r="55">
      <c r="A55" s="15" t="n"/>
      <c r="B55" s="27" t="n"/>
      <c r="C55" s="15" t="n"/>
      <c r="D55" s="15" t="n"/>
      <c r="E55" s="27" t="n"/>
      <c r="F55" s="27" t="n"/>
      <c r="G55" s="27" t="n"/>
      <c r="H55" s="27" t="n"/>
      <c r="I55" s="15" t="n"/>
      <c r="J55" s="15" t="n"/>
      <c r="K55" s="15" t="n"/>
      <c r="L55" s="15" t="n"/>
      <c r="M55" s="15" t="n"/>
      <c r="N55" s="27" t="n"/>
    </row>
    <row r="56">
      <c r="A56" s="15" t="n"/>
      <c r="B56" s="27" t="n"/>
      <c r="C56" s="15" t="n"/>
      <c r="D56" s="15" t="n"/>
      <c r="E56" s="27" t="n"/>
      <c r="F56" s="27" t="n"/>
      <c r="G56" s="27" t="n"/>
      <c r="H56" s="27" t="n"/>
      <c r="I56" s="15" t="n"/>
      <c r="J56" s="15" t="n"/>
      <c r="K56" s="15" t="n"/>
      <c r="L56" s="15" t="n"/>
      <c r="M56" s="15" t="n"/>
      <c r="N56" s="27" t="n"/>
    </row>
    <row r="57">
      <c r="A57" s="15" t="n"/>
      <c r="B57" s="27" t="n"/>
      <c r="C57" s="15" t="n"/>
      <c r="D57" s="15" t="n"/>
      <c r="E57" s="27" t="n"/>
      <c r="F57" s="27" t="n"/>
      <c r="G57" s="27" t="n"/>
      <c r="H57" s="27" t="n"/>
      <c r="I57" s="15" t="n"/>
      <c r="J57" s="15" t="n"/>
      <c r="K57" s="15" t="n"/>
      <c r="L57" s="15" t="n"/>
      <c r="M57" s="15" t="n"/>
      <c r="N57" s="27" t="n"/>
    </row>
    <row r="58">
      <c r="A58" s="15" t="n"/>
      <c r="B58" s="27" t="n"/>
      <c r="C58" s="15" t="n"/>
      <c r="D58" s="15" t="n"/>
      <c r="E58" s="27" t="n"/>
      <c r="F58" s="27" t="n"/>
      <c r="G58" s="27" t="n"/>
      <c r="H58" s="27" t="n"/>
      <c r="I58" s="15" t="n"/>
      <c r="J58" s="15" t="n"/>
      <c r="K58" s="15" t="n"/>
      <c r="L58" s="15" t="n"/>
      <c r="M58" s="15" t="n"/>
      <c r="N58" s="27" t="n"/>
    </row>
    <row r="59">
      <c r="A59" s="15" t="n"/>
      <c r="B59" s="27" t="n"/>
      <c r="C59" s="15" t="n"/>
      <c r="D59" s="15" t="n"/>
      <c r="E59" s="27" t="n"/>
      <c r="F59" s="27" t="n"/>
      <c r="G59" s="27" t="n"/>
      <c r="H59" s="27" t="n"/>
      <c r="I59" s="15" t="n"/>
      <c r="J59" s="15" t="n"/>
      <c r="K59" s="15" t="n"/>
      <c r="L59" s="15" t="n"/>
      <c r="M59" s="15" t="n"/>
      <c r="N59" s="27" t="n"/>
    </row>
    <row r="60">
      <c r="A60" s="15" t="n"/>
      <c r="B60" s="27" t="n"/>
      <c r="C60" s="15" t="n"/>
      <c r="D60" s="15" t="n"/>
      <c r="E60" s="27" t="n"/>
      <c r="F60" s="27" t="n"/>
      <c r="G60" s="27" t="n"/>
      <c r="H60" s="27" t="n"/>
      <c r="I60" s="15" t="n"/>
      <c r="J60" s="15" t="n"/>
      <c r="K60" s="15" t="n"/>
      <c r="L60" s="15" t="n"/>
      <c r="M60" s="15" t="n"/>
      <c r="N60" s="27" t="n"/>
    </row>
    <row r="61">
      <c r="A61" s="15" t="n"/>
      <c r="B61" s="27" t="n"/>
      <c r="C61" s="15" t="n"/>
      <c r="D61" s="15" t="n"/>
      <c r="E61" s="27" t="n"/>
      <c r="F61" s="27" t="n"/>
      <c r="G61" s="27" t="n"/>
      <c r="H61" s="27" t="n"/>
      <c r="I61" s="15" t="n"/>
      <c r="J61" s="15" t="n"/>
      <c r="K61" s="15" t="n"/>
      <c r="L61" s="15" t="n"/>
      <c r="M61" s="15" t="n"/>
      <c r="N61" s="27" t="n"/>
    </row>
    <row r="62">
      <c r="A62" s="15" t="n"/>
      <c r="B62" s="27" t="n"/>
      <c r="C62" s="15" t="n"/>
      <c r="D62" s="15" t="n"/>
      <c r="E62" s="27" t="n"/>
      <c r="F62" s="27" t="n"/>
      <c r="G62" s="27" t="n"/>
      <c r="H62" s="27" t="n"/>
      <c r="I62" s="15" t="n"/>
      <c r="J62" s="15" t="n"/>
      <c r="K62" s="15" t="n"/>
      <c r="L62" s="15" t="n"/>
      <c r="M62" s="15" t="n"/>
      <c r="N62" s="27" t="n"/>
    </row>
  </sheetData>
  <autoFilter ref="A12:N12"/>
  <mergeCells count="16">
    <mergeCell ref="H11:H12"/>
    <mergeCell ref="K11:L11"/>
    <mergeCell ref="N11:N12"/>
    <mergeCell ref="B4:N4"/>
    <mergeCell ref="I11:J11"/>
    <mergeCell ref="M11:M12"/>
    <mergeCell ref="B11:B12"/>
    <mergeCell ref="C11:C12"/>
    <mergeCell ref="D11:D12"/>
    <mergeCell ref="G11:G12"/>
    <mergeCell ref="E11:E12"/>
    <mergeCell ref="B3:N3"/>
    <mergeCell ref="B2:N2"/>
    <mergeCell ref="A11:A12"/>
    <mergeCell ref="F11:F12"/>
    <mergeCell ref="A1:N1"/>
  </mergeCells>
  <conditionalFormatting sqref="I13:I1000">
    <cfRule type="cellIs" priority="1" operator="equal" dxfId="0" stopIfTrue="0">
      <formula>"Pass"</formula>
    </cfRule>
    <cfRule type="cellIs" priority="2" operator="equal" dxfId="1" stopIfTrue="0">
      <formula>"Fail"</formula>
    </cfRule>
    <cfRule type="cellIs" priority="3" operator="equal" dxfId="2" stopIfTrue="0">
      <formula>"Blocked"</formula>
    </cfRule>
    <cfRule type="cellIs" priority="4" operator="equal" dxfId="3" stopIfTrue="0">
      <formula>"N/A"</formula>
    </cfRule>
    <cfRule type="cellIs" priority="5" operator="equal" dxfId="4" stopIfTrue="0">
      <formula>"Not-Run"</formula>
    </cfRule>
  </conditionalFormatting>
  <conditionalFormatting sqref="K13:K1000">
    <cfRule type="cellIs" priority="11" operator="equal" dxfId="0" stopIfTrue="0">
      <formula>"Pass"</formula>
    </cfRule>
    <cfRule type="cellIs" priority="12" operator="equal" dxfId="1" stopIfTrue="0">
      <formula>"Fail"</formula>
    </cfRule>
    <cfRule type="cellIs" priority="13" operator="equal" dxfId="2" stopIfTrue="0">
      <formula>"Blocked"</formula>
    </cfRule>
    <cfRule type="cellIs" priority="14" operator="equal" dxfId="3" stopIfTrue="0">
      <formula>"N/A"</formula>
    </cfRule>
    <cfRule type="cellIs" priority="15" operator="equal" dxfId="4" stopIfTrue="0">
      <formula>"Not-Run"</formula>
    </cfRule>
  </conditionalFormatting>
  <conditionalFormatting sqref="J13:J1000">
    <cfRule type="cellIs" priority="21" operator="equal" dxfId="1" stopIfTrue="0">
      <formula>"Open"</formula>
    </cfRule>
    <cfRule type="cellIs" priority="22" operator="equal" dxfId="2" stopIfTrue="0">
      <formula>"In-Progress"</formula>
    </cfRule>
    <cfRule type="cellIs" priority="23" operator="equal" dxfId="1" stopIfTrue="0">
      <formula>"Re-Open"</formula>
    </cfRule>
    <cfRule type="cellIs" priority="24" operator="equal" dxfId="0" stopIfTrue="0">
      <formula>"Closed"</formula>
    </cfRule>
    <cfRule type="cellIs" priority="25" operator="equal" dxfId="0" stopIfTrue="0">
      <formula>"Resolved"</formula>
    </cfRule>
  </conditionalFormatting>
  <conditionalFormatting sqref="L13:L1000">
    <cfRule type="cellIs" priority="31" operator="equal" dxfId="1" stopIfTrue="0">
      <formula>"Open"</formula>
    </cfRule>
    <cfRule type="cellIs" priority="32" operator="equal" dxfId="2" stopIfTrue="0">
      <formula>"In-Progress"</formula>
    </cfRule>
    <cfRule type="cellIs" priority="33" operator="equal" dxfId="1" stopIfTrue="0">
      <formula>"Re-Open"</formula>
    </cfRule>
    <cfRule type="cellIs" priority="34" operator="equal" dxfId="0" stopIfTrue="0">
      <formula>"Closed"</formula>
    </cfRule>
    <cfRule type="cellIs" priority="35" operator="equal" dxfId="0" stopIfTrue="0">
      <formula>"Resolved"</formula>
    </cfRule>
  </conditionalFormatting>
  <conditionalFormatting sqref="C13:C1000">
    <cfRule type="cellIs" priority="41" operator="equal" dxfId="5" stopIfTrue="0">
      <formula>"Rất cao"</formula>
    </cfRule>
    <cfRule type="cellIs" priority="42" operator="equal" dxfId="6" stopIfTrue="0">
      <formula>"Cao"</formula>
    </cfRule>
    <cfRule type="cellIs" priority="43" operator="equal" dxfId="7" stopIfTrue="0">
      <formula>"Trung bình"</formula>
    </cfRule>
    <cfRule type="cellIs" priority="44" operator="equal" dxfId="8" stopIfTrue="0">
      <formula>"Thấp"</formula>
    </cfRule>
  </conditionalFormatting>
  <conditionalFormatting sqref="D13:D1000">
    <cfRule type="cellIs" priority="51" operator="equal" dxfId="5" stopIfTrue="0">
      <formula>"Blocker"</formula>
    </cfRule>
    <cfRule type="cellIs" priority="52" operator="equal" dxfId="6" stopIfTrue="0">
      <formula>"Major"</formula>
    </cfRule>
    <cfRule type="cellIs" priority="53" operator="equal" dxfId="7" stopIfTrue="0">
      <formula>"Minor"</formula>
    </cfRule>
    <cfRule type="cellIs" priority="54" operator="equal" dxfId="9" stopIfTrue="0">
      <formula>"Trivial"</formula>
    </cfRule>
  </conditionalFormatting>
  <dataValidations count="4">
    <dataValidation sqref="C13:C1000" showDropDown="0" showInputMessage="0" showErrorMessage="0" allowBlank="1" type="list">
      <formula1>'_Tra cứu'!$E$2:$E$20</formula1>
    </dataValidation>
    <dataValidation sqref="D13:D1000" showDropDown="0" showInputMessage="0" showErrorMessage="0" allowBlank="1" type="list">
      <formula1>'_Tra cứu'!$F$2:$F$20</formula1>
    </dataValidation>
    <dataValidation sqref="I13:I1000 K13:K1000" showDropDown="0" showInputMessage="0" showErrorMessage="0" allowBlank="1" type="list">
      <formula1>'_Tra cứu'!$G$2:$G$20</formula1>
    </dataValidation>
    <dataValidation sqref="J13:J1000 L13:L1000" showDropDown="0" showInputMessage="0" showErrorMessage="0" allowBlank="1" type="list">
      <formula1>'_Tra cứu'!$H$2:$H$20</formula1>
    </dataValidation>
  </dataValidations>
  <printOptions horizontalCentered="1"/>
  <pageMargins left="0.4" right="0.4" top="0.5" bottom="0.5" header="0.2" footer="0.2"/>
  <pageSetup orientation="landscape" paperSize="9" fitToHeight="0" fitToWidth="1"/>
  <headerFooter>
    <oddHeader/>
    <oddFooter>&amp;C&amp;"Times New Roman"&amp;9 Trang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N62"/>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0" customWidth="1" min="1" max="1"/>
    <col width="38" customWidth="1" min="2" max="2"/>
    <col width="12" customWidth="1" min="3" max="3"/>
    <col width="13" customWidth="1" min="4" max="4"/>
    <col width="28" customWidth="1" min="5" max="5"/>
    <col width="22" customWidth="1" min="6" max="6"/>
    <col width="50" customWidth="1" min="7" max="7"/>
    <col width="50" customWidth="1" min="8" max="8"/>
    <col width="11" customWidth="1" min="9" max="9"/>
    <col width="13" customWidth="1" min="10" max="10"/>
    <col width="11" customWidth="1" min="11" max="11"/>
    <col width="13" customWidth="1" min="12" max="12"/>
    <col width="11" customWidth="1" min="13" max="13"/>
    <col width="22" customWidth="1" min="14" max="14"/>
  </cols>
  <sheetData>
    <row r="1" ht="30" customHeight="1">
      <c r="A1" s="13" t="inlineStr">
        <is>
          <t>TÊN API</t>
        </is>
      </c>
    </row>
    <row r="2">
      <c r="A2" s="26" t="inlineStr">
        <is>
          <t>Tên hệ thống:</t>
        </is>
      </c>
      <c r="B2" s="14" t="inlineStr"/>
    </row>
    <row r="3">
      <c r="A3" s="26" t="inlineStr">
        <is>
          <t>Phiên bản:</t>
        </is>
      </c>
      <c r="B3" s="14" t="inlineStr"/>
    </row>
    <row r="4">
      <c r="A4" s="26" t="inlineStr">
        <is>
          <t>Người chuẩn bị:</t>
        </is>
      </c>
      <c r="B4" s="14" t="inlineStr"/>
    </row>
    <row r="11" ht="26" customHeight="1">
      <c r="A11" s="7" t="inlineStr">
        <is>
          <t>Mã TC</t>
        </is>
      </c>
      <c r="B11" s="7" t="inlineStr">
        <is>
          <t>Mục đích</t>
        </is>
      </c>
      <c r="C11" s="7" t="inlineStr">
        <is>
          <t>Mức ưu tiên</t>
        </is>
      </c>
      <c r="D11" s="7" t="inlineStr">
        <is>
          <t>Mức nghiêm trọng</t>
        </is>
      </c>
      <c r="E11" s="7" t="inlineStr">
        <is>
          <t>Tiền điều kiện</t>
        </is>
      </c>
      <c r="F11" s="7" t="inlineStr">
        <is>
          <t>Dữ liệu test</t>
        </is>
      </c>
      <c r="G11" s="7" t="inlineStr">
        <is>
          <t>Các bước thực hiện</t>
        </is>
      </c>
      <c r="H11" s="7" t="inlineStr">
        <is>
          <t>Kết quả mong đợi</t>
        </is>
      </c>
      <c r="I11" s="7" t="inlineStr">
        <is>
          <t>Kết quả lần 1</t>
        </is>
      </c>
      <c r="K11" s="7" t="inlineStr">
        <is>
          <t>Kết quả lần 2</t>
        </is>
      </c>
      <c r="M11" s="7" t="inlineStr">
        <is>
          <t>ID Bug</t>
        </is>
      </c>
      <c r="N11" s="7" t="inlineStr">
        <is>
          <t>Ghi chú</t>
        </is>
      </c>
    </row>
    <row r="12" ht="24" customHeight="1">
      <c r="I12" s="7" t="inlineStr">
        <is>
          <t>Kết quả</t>
        </is>
      </c>
      <c r="J12" s="7" t="inlineStr">
        <is>
          <t>Trạng thái</t>
        </is>
      </c>
      <c r="K12" s="7" t="inlineStr">
        <is>
          <t>Kết quả</t>
        </is>
      </c>
      <c r="L12" s="7" t="inlineStr">
        <is>
          <t>Trạng thái</t>
        </is>
      </c>
    </row>
    <row r="13">
      <c r="A13" s="15" t="n"/>
      <c r="B13" s="27" t="n"/>
      <c r="C13" s="15" t="n"/>
      <c r="D13" s="15" t="n"/>
      <c r="E13" s="27" t="n"/>
      <c r="F13" s="27" t="n"/>
      <c r="G13" s="27" t="n"/>
      <c r="H13" s="27" t="n"/>
      <c r="I13" s="15" t="n"/>
      <c r="J13" s="15" t="n"/>
      <c r="K13" s="15" t="n"/>
      <c r="L13" s="15" t="n"/>
      <c r="M13" s="15" t="n"/>
      <c r="N13" s="27" t="n"/>
    </row>
    <row r="14">
      <c r="A14" s="15" t="n"/>
      <c r="B14" s="27" t="n"/>
      <c r="C14" s="15" t="n"/>
      <c r="D14" s="15" t="n"/>
      <c r="E14" s="27" t="n"/>
      <c r="F14" s="27" t="n"/>
      <c r="G14" s="27" t="n"/>
      <c r="H14" s="27" t="n"/>
      <c r="I14" s="15" t="n"/>
      <c r="J14" s="15" t="n"/>
      <c r="K14" s="15" t="n"/>
      <c r="L14" s="15" t="n"/>
      <c r="M14" s="15" t="n"/>
      <c r="N14" s="27" t="n"/>
    </row>
    <row r="15">
      <c r="A15" s="15" t="n"/>
      <c r="B15" s="27" t="n"/>
      <c r="C15" s="15" t="n"/>
      <c r="D15" s="15" t="n"/>
      <c r="E15" s="27" t="n"/>
      <c r="F15" s="27" t="n"/>
      <c r="G15" s="27" t="n"/>
      <c r="H15" s="27" t="n"/>
      <c r="I15" s="15" t="n"/>
      <c r="J15" s="15" t="n"/>
      <c r="K15" s="15" t="n"/>
      <c r="L15" s="15" t="n"/>
      <c r="M15" s="15" t="n"/>
      <c r="N15" s="27" t="n"/>
    </row>
    <row r="16">
      <c r="A16" s="15" t="n"/>
      <c r="B16" s="27" t="n"/>
      <c r="C16" s="15" t="n"/>
      <c r="D16" s="15" t="n"/>
      <c r="E16" s="27" t="n"/>
      <c r="F16" s="27" t="n"/>
      <c r="G16" s="27" t="n"/>
      <c r="H16" s="27" t="n"/>
      <c r="I16" s="15" t="n"/>
      <c r="J16" s="15" t="n"/>
      <c r="K16" s="15" t="n"/>
      <c r="L16" s="15" t="n"/>
      <c r="M16" s="15" t="n"/>
      <c r="N16" s="27" t="n"/>
    </row>
    <row r="17">
      <c r="A17" s="15" t="n"/>
      <c r="B17" s="27" t="n"/>
      <c r="C17" s="15" t="n"/>
      <c r="D17" s="15" t="n"/>
      <c r="E17" s="27" t="n"/>
      <c r="F17" s="27" t="n"/>
      <c r="G17" s="27" t="n"/>
      <c r="H17" s="27" t="n"/>
      <c r="I17" s="15" t="n"/>
      <c r="J17" s="15" t="n"/>
      <c r="K17" s="15" t="n"/>
      <c r="L17" s="15" t="n"/>
      <c r="M17" s="15" t="n"/>
      <c r="N17" s="27" t="n"/>
    </row>
    <row r="18">
      <c r="A18" s="15" t="n"/>
      <c r="B18" s="27" t="n"/>
      <c r="C18" s="15" t="n"/>
      <c r="D18" s="15" t="n"/>
      <c r="E18" s="27" t="n"/>
      <c r="F18" s="27" t="n"/>
      <c r="G18" s="27" t="n"/>
      <c r="H18" s="27" t="n"/>
      <c r="I18" s="15" t="n"/>
      <c r="J18" s="15" t="n"/>
      <c r="K18" s="15" t="n"/>
      <c r="L18" s="15" t="n"/>
      <c r="M18" s="15" t="n"/>
      <c r="N18" s="27" t="n"/>
    </row>
    <row r="19">
      <c r="A19" s="15" t="n"/>
      <c r="B19" s="27" t="n"/>
      <c r="C19" s="15" t="n"/>
      <c r="D19" s="15" t="n"/>
      <c r="E19" s="27" t="n"/>
      <c r="F19" s="27" t="n"/>
      <c r="G19" s="27" t="n"/>
      <c r="H19" s="27" t="n"/>
      <c r="I19" s="15" t="n"/>
      <c r="J19" s="15" t="n"/>
      <c r="K19" s="15" t="n"/>
      <c r="L19" s="15" t="n"/>
      <c r="M19" s="15" t="n"/>
      <c r="N19" s="27" t="n"/>
    </row>
    <row r="20">
      <c r="A20" s="15" t="n"/>
      <c r="B20" s="27" t="n"/>
      <c r="C20" s="15" t="n"/>
      <c r="D20" s="15" t="n"/>
      <c r="E20" s="27" t="n"/>
      <c r="F20" s="27" t="n"/>
      <c r="G20" s="27" t="n"/>
      <c r="H20" s="27" t="n"/>
      <c r="I20" s="15" t="n"/>
      <c r="J20" s="15" t="n"/>
      <c r="K20" s="15" t="n"/>
      <c r="L20" s="15" t="n"/>
      <c r="M20" s="15" t="n"/>
      <c r="N20" s="27" t="n"/>
    </row>
    <row r="21">
      <c r="A21" s="15" t="n"/>
      <c r="B21" s="27" t="n"/>
      <c r="C21" s="15" t="n"/>
      <c r="D21" s="15" t="n"/>
      <c r="E21" s="27" t="n"/>
      <c r="F21" s="27" t="n"/>
      <c r="G21" s="27" t="n"/>
      <c r="H21" s="27" t="n"/>
      <c r="I21" s="15" t="n"/>
      <c r="J21" s="15" t="n"/>
      <c r="K21" s="15" t="n"/>
      <c r="L21" s="15" t="n"/>
      <c r="M21" s="15" t="n"/>
      <c r="N21" s="27" t="n"/>
    </row>
    <row r="22">
      <c r="A22" s="15" t="n"/>
      <c r="B22" s="27" t="n"/>
      <c r="C22" s="15" t="n"/>
      <c r="D22" s="15" t="n"/>
      <c r="E22" s="27" t="n"/>
      <c r="F22" s="27" t="n"/>
      <c r="G22" s="27" t="n"/>
      <c r="H22" s="27" t="n"/>
      <c r="I22" s="15" t="n"/>
      <c r="J22" s="15" t="n"/>
      <c r="K22" s="15" t="n"/>
      <c r="L22" s="15" t="n"/>
      <c r="M22" s="15" t="n"/>
      <c r="N22" s="27" t="n"/>
    </row>
    <row r="23">
      <c r="A23" s="15" t="n"/>
      <c r="B23" s="27" t="n"/>
      <c r="C23" s="15" t="n"/>
      <c r="D23" s="15" t="n"/>
      <c r="E23" s="27" t="n"/>
      <c r="F23" s="27" t="n"/>
      <c r="G23" s="27" t="n"/>
      <c r="H23" s="27" t="n"/>
      <c r="I23" s="15" t="n"/>
      <c r="J23" s="15" t="n"/>
      <c r="K23" s="15" t="n"/>
      <c r="L23" s="15" t="n"/>
      <c r="M23" s="15" t="n"/>
      <c r="N23" s="27" t="n"/>
    </row>
    <row r="24">
      <c r="A24" s="15" t="n"/>
      <c r="B24" s="27" t="n"/>
      <c r="C24" s="15" t="n"/>
      <c r="D24" s="15" t="n"/>
      <c r="E24" s="27" t="n"/>
      <c r="F24" s="27" t="n"/>
      <c r="G24" s="27" t="n"/>
      <c r="H24" s="27" t="n"/>
      <c r="I24" s="15" t="n"/>
      <c r="J24" s="15" t="n"/>
      <c r="K24" s="15" t="n"/>
      <c r="L24" s="15" t="n"/>
      <c r="M24" s="15" t="n"/>
      <c r="N24" s="27" t="n"/>
    </row>
    <row r="25">
      <c r="A25" s="15" t="n"/>
      <c r="B25" s="27" t="n"/>
      <c r="C25" s="15" t="n"/>
      <c r="D25" s="15" t="n"/>
      <c r="E25" s="27" t="n"/>
      <c r="F25" s="27" t="n"/>
      <c r="G25" s="27" t="n"/>
      <c r="H25" s="27" t="n"/>
      <c r="I25" s="15" t="n"/>
      <c r="J25" s="15" t="n"/>
      <c r="K25" s="15" t="n"/>
      <c r="L25" s="15" t="n"/>
      <c r="M25" s="15" t="n"/>
      <c r="N25" s="27" t="n"/>
    </row>
    <row r="26">
      <c r="A26" s="15" t="n"/>
      <c r="B26" s="27" t="n"/>
      <c r="C26" s="15" t="n"/>
      <c r="D26" s="15" t="n"/>
      <c r="E26" s="27" t="n"/>
      <c r="F26" s="27" t="n"/>
      <c r="G26" s="27" t="n"/>
      <c r="H26" s="27" t="n"/>
      <c r="I26" s="15" t="n"/>
      <c r="J26" s="15" t="n"/>
      <c r="K26" s="15" t="n"/>
      <c r="L26" s="15" t="n"/>
      <c r="M26" s="15" t="n"/>
      <c r="N26" s="27" t="n"/>
    </row>
    <row r="27">
      <c r="A27" s="15" t="n"/>
      <c r="B27" s="27" t="n"/>
      <c r="C27" s="15" t="n"/>
      <c r="D27" s="15" t="n"/>
      <c r="E27" s="27" t="n"/>
      <c r="F27" s="27" t="n"/>
      <c r="G27" s="27" t="n"/>
      <c r="H27" s="27" t="n"/>
      <c r="I27" s="15" t="n"/>
      <c r="J27" s="15" t="n"/>
      <c r="K27" s="15" t="n"/>
      <c r="L27" s="15" t="n"/>
      <c r="M27" s="15" t="n"/>
      <c r="N27" s="27" t="n"/>
    </row>
    <row r="28">
      <c r="A28" s="15" t="n"/>
      <c r="B28" s="27" t="n"/>
      <c r="C28" s="15" t="n"/>
      <c r="D28" s="15" t="n"/>
      <c r="E28" s="27" t="n"/>
      <c r="F28" s="27" t="n"/>
      <c r="G28" s="27" t="n"/>
      <c r="H28" s="27" t="n"/>
      <c r="I28" s="15" t="n"/>
      <c r="J28" s="15" t="n"/>
      <c r="K28" s="15" t="n"/>
      <c r="L28" s="15" t="n"/>
      <c r="M28" s="15" t="n"/>
      <c r="N28" s="27" t="n"/>
    </row>
    <row r="29">
      <c r="A29" s="15" t="n"/>
      <c r="B29" s="27" t="n"/>
      <c r="C29" s="15" t="n"/>
      <c r="D29" s="15" t="n"/>
      <c r="E29" s="27" t="n"/>
      <c r="F29" s="27" t="n"/>
      <c r="G29" s="27" t="n"/>
      <c r="H29" s="27" t="n"/>
      <c r="I29" s="15" t="n"/>
      <c r="J29" s="15" t="n"/>
      <c r="K29" s="15" t="n"/>
      <c r="L29" s="15" t="n"/>
      <c r="M29" s="15" t="n"/>
      <c r="N29" s="27" t="n"/>
    </row>
    <row r="30">
      <c r="A30" s="15" t="n"/>
      <c r="B30" s="27" t="n"/>
      <c r="C30" s="15" t="n"/>
      <c r="D30" s="15" t="n"/>
      <c r="E30" s="27" t="n"/>
      <c r="F30" s="27" t="n"/>
      <c r="G30" s="27" t="n"/>
      <c r="H30" s="27" t="n"/>
      <c r="I30" s="15" t="n"/>
      <c r="J30" s="15" t="n"/>
      <c r="K30" s="15" t="n"/>
      <c r="L30" s="15" t="n"/>
      <c r="M30" s="15" t="n"/>
      <c r="N30" s="27" t="n"/>
    </row>
    <row r="31">
      <c r="A31" s="15" t="n"/>
      <c r="B31" s="27" t="n"/>
      <c r="C31" s="15" t="n"/>
      <c r="D31" s="15" t="n"/>
      <c r="E31" s="27" t="n"/>
      <c r="F31" s="27" t="n"/>
      <c r="G31" s="27" t="n"/>
      <c r="H31" s="27" t="n"/>
      <c r="I31" s="15" t="n"/>
      <c r="J31" s="15" t="n"/>
      <c r="K31" s="15" t="n"/>
      <c r="L31" s="15" t="n"/>
      <c r="M31" s="15" t="n"/>
      <c r="N31" s="27" t="n"/>
    </row>
    <row r="32">
      <c r="A32" s="15" t="n"/>
      <c r="B32" s="27" t="n"/>
      <c r="C32" s="15" t="n"/>
      <c r="D32" s="15" t="n"/>
      <c r="E32" s="27" t="n"/>
      <c r="F32" s="27" t="n"/>
      <c r="G32" s="27" t="n"/>
      <c r="H32" s="27" t="n"/>
      <c r="I32" s="15" t="n"/>
      <c r="J32" s="15" t="n"/>
      <c r="K32" s="15" t="n"/>
      <c r="L32" s="15" t="n"/>
      <c r="M32" s="15" t="n"/>
      <c r="N32" s="27" t="n"/>
    </row>
    <row r="33">
      <c r="A33" s="15" t="n"/>
      <c r="B33" s="27" t="n"/>
      <c r="C33" s="15" t="n"/>
      <c r="D33" s="15" t="n"/>
      <c r="E33" s="27" t="n"/>
      <c r="F33" s="27" t="n"/>
      <c r="G33" s="27" t="n"/>
      <c r="H33" s="27" t="n"/>
      <c r="I33" s="15" t="n"/>
      <c r="J33" s="15" t="n"/>
      <c r="K33" s="15" t="n"/>
      <c r="L33" s="15" t="n"/>
      <c r="M33" s="15" t="n"/>
      <c r="N33" s="27" t="n"/>
    </row>
    <row r="34">
      <c r="A34" s="15" t="n"/>
      <c r="B34" s="27" t="n"/>
      <c r="C34" s="15" t="n"/>
      <c r="D34" s="15" t="n"/>
      <c r="E34" s="27" t="n"/>
      <c r="F34" s="27" t="n"/>
      <c r="G34" s="27" t="n"/>
      <c r="H34" s="27" t="n"/>
      <c r="I34" s="15" t="n"/>
      <c r="J34" s="15" t="n"/>
      <c r="K34" s="15" t="n"/>
      <c r="L34" s="15" t="n"/>
      <c r="M34" s="15" t="n"/>
      <c r="N34" s="27" t="n"/>
    </row>
    <row r="35">
      <c r="A35" s="15" t="n"/>
      <c r="B35" s="27" t="n"/>
      <c r="C35" s="15" t="n"/>
      <c r="D35" s="15" t="n"/>
      <c r="E35" s="27" t="n"/>
      <c r="F35" s="27" t="n"/>
      <c r="G35" s="27" t="n"/>
      <c r="H35" s="27" t="n"/>
      <c r="I35" s="15" t="n"/>
      <c r="J35" s="15" t="n"/>
      <c r="K35" s="15" t="n"/>
      <c r="L35" s="15" t="n"/>
      <c r="M35" s="15" t="n"/>
      <c r="N35" s="27" t="n"/>
    </row>
    <row r="36">
      <c r="A36" s="15" t="n"/>
      <c r="B36" s="27" t="n"/>
      <c r="C36" s="15" t="n"/>
      <c r="D36" s="15" t="n"/>
      <c r="E36" s="27" t="n"/>
      <c r="F36" s="27" t="n"/>
      <c r="G36" s="27" t="n"/>
      <c r="H36" s="27" t="n"/>
      <c r="I36" s="15" t="n"/>
      <c r="J36" s="15" t="n"/>
      <c r="K36" s="15" t="n"/>
      <c r="L36" s="15" t="n"/>
      <c r="M36" s="15" t="n"/>
      <c r="N36" s="27" t="n"/>
    </row>
    <row r="37">
      <c r="A37" s="15" t="n"/>
      <c r="B37" s="27" t="n"/>
      <c r="C37" s="15" t="n"/>
      <c r="D37" s="15" t="n"/>
      <c r="E37" s="27" t="n"/>
      <c r="F37" s="27" t="n"/>
      <c r="G37" s="27" t="n"/>
      <c r="H37" s="27" t="n"/>
      <c r="I37" s="15" t="n"/>
      <c r="J37" s="15" t="n"/>
      <c r="K37" s="15" t="n"/>
      <c r="L37" s="15" t="n"/>
      <c r="M37" s="15" t="n"/>
      <c r="N37" s="27" t="n"/>
    </row>
    <row r="38">
      <c r="A38" s="15" t="n"/>
      <c r="B38" s="27" t="n"/>
      <c r="C38" s="15" t="n"/>
      <c r="D38" s="15" t="n"/>
      <c r="E38" s="27" t="n"/>
      <c r="F38" s="27" t="n"/>
      <c r="G38" s="27" t="n"/>
      <c r="H38" s="27" t="n"/>
      <c r="I38" s="15" t="n"/>
      <c r="J38" s="15" t="n"/>
      <c r="K38" s="15" t="n"/>
      <c r="L38" s="15" t="n"/>
      <c r="M38" s="15" t="n"/>
      <c r="N38" s="27" t="n"/>
    </row>
    <row r="39">
      <c r="A39" s="15" t="n"/>
      <c r="B39" s="27" t="n"/>
      <c r="C39" s="15" t="n"/>
      <c r="D39" s="15" t="n"/>
      <c r="E39" s="27" t="n"/>
      <c r="F39" s="27" t="n"/>
      <c r="G39" s="27" t="n"/>
      <c r="H39" s="27" t="n"/>
      <c r="I39" s="15" t="n"/>
      <c r="J39" s="15" t="n"/>
      <c r="K39" s="15" t="n"/>
      <c r="L39" s="15" t="n"/>
      <c r="M39" s="15" t="n"/>
      <c r="N39" s="27" t="n"/>
    </row>
    <row r="40">
      <c r="A40" s="15" t="n"/>
      <c r="B40" s="27" t="n"/>
      <c r="C40" s="15" t="n"/>
      <c r="D40" s="15" t="n"/>
      <c r="E40" s="27" t="n"/>
      <c r="F40" s="27" t="n"/>
      <c r="G40" s="27" t="n"/>
      <c r="H40" s="27" t="n"/>
      <c r="I40" s="15" t="n"/>
      <c r="J40" s="15" t="n"/>
      <c r="K40" s="15" t="n"/>
      <c r="L40" s="15" t="n"/>
      <c r="M40" s="15" t="n"/>
      <c r="N40" s="27" t="n"/>
    </row>
    <row r="41">
      <c r="A41" s="15" t="n"/>
      <c r="B41" s="27" t="n"/>
      <c r="C41" s="15" t="n"/>
      <c r="D41" s="15" t="n"/>
      <c r="E41" s="27" t="n"/>
      <c r="F41" s="27" t="n"/>
      <c r="G41" s="27" t="n"/>
      <c r="H41" s="27" t="n"/>
      <c r="I41" s="15" t="n"/>
      <c r="J41" s="15" t="n"/>
      <c r="K41" s="15" t="n"/>
      <c r="L41" s="15" t="n"/>
      <c r="M41" s="15" t="n"/>
      <c r="N41" s="27" t="n"/>
    </row>
    <row r="42">
      <c r="A42" s="15" t="n"/>
      <c r="B42" s="27" t="n"/>
      <c r="C42" s="15" t="n"/>
      <c r="D42" s="15" t="n"/>
      <c r="E42" s="27" t="n"/>
      <c r="F42" s="27" t="n"/>
      <c r="G42" s="27" t="n"/>
      <c r="H42" s="27" t="n"/>
      <c r="I42" s="15" t="n"/>
      <c r="J42" s="15" t="n"/>
      <c r="K42" s="15" t="n"/>
      <c r="L42" s="15" t="n"/>
      <c r="M42" s="15" t="n"/>
      <c r="N42" s="27" t="n"/>
    </row>
    <row r="43">
      <c r="A43" s="15" t="n"/>
      <c r="B43" s="27" t="n"/>
      <c r="C43" s="15" t="n"/>
      <c r="D43" s="15" t="n"/>
      <c r="E43" s="27" t="n"/>
      <c r="F43" s="27" t="n"/>
      <c r="G43" s="27" t="n"/>
      <c r="H43" s="27" t="n"/>
      <c r="I43" s="15" t="n"/>
      <c r="J43" s="15" t="n"/>
      <c r="K43" s="15" t="n"/>
      <c r="L43" s="15" t="n"/>
      <c r="M43" s="15" t="n"/>
      <c r="N43" s="27" t="n"/>
    </row>
    <row r="44">
      <c r="A44" s="15" t="n"/>
      <c r="B44" s="27" t="n"/>
      <c r="C44" s="15" t="n"/>
      <c r="D44" s="15" t="n"/>
      <c r="E44" s="27" t="n"/>
      <c r="F44" s="27" t="n"/>
      <c r="G44" s="27" t="n"/>
      <c r="H44" s="27" t="n"/>
      <c r="I44" s="15" t="n"/>
      <c r="J44" s="15" t="n"/>
      <c r="K44" s="15" t="n"/>
      <c r="L44" s="15" t="n"/>
      <c r="M44" s="15" t="n"/>
      <c r="N44" s="27" t="n"/>
    </row>
    <row r="45">
      <c r="A45" s="15" t="n"/>
      <c r="B45" s="27" t="n"/>
      <c r="C45" s="15" t="n"/>
      <c r="D45" s="15" t="n"/>
      <c r="E45" s="27" t="n"/>
      <c r="F45" s="27" t="n"/>
      <c r="G45" s="27" t="n"/>
      <c r="H45" s="27" t="n"/>
      <c r="I45" s="15" t="n"/>
      <c r="J45" s="15" t="n"/>
      <c r="K45" s="15" t="n"/>
      <c r="L45" s="15" t="n"/>
      <c r="M45" s="15" t="n"/>
      <c r="N45" s="27" t="n"/>
    </row>
    <row r="46">
      <c r="A46" s="15" t="n"/>
      <c r="B46" s="27" t="n"/>
      <c r="C46" s="15" t="n"/>
      <c r="D46" s="15" t="n"/>
      <c r="E46" s="27" t="n"/>
      <c r="F46" s="27" t="n"/>
      <c r="G46" s="27" t="n"/>
      <c r="H46" s="27" t="n"/>
      <c r="I46" s="15" t="n"/>
      <c r="J46" s="15" t="n"/>
      <c r="K46" s="15" t="n"/>
      <c r="L46" s="15" t="n"/>
      <c r="M46" s="15" t="n"/>
      <c r="N46" s="27" t="n"/>
    </row>
    <row r="47">
      <c r="A47" s="15" t="n"/>
      <c r="B47" s="27" t="n"/>
      <c r="C47" s="15" t="n"/>
      <c r="D47" s="15" t="n"/>
      <c r="E47" s="27" t="n"/>
      <c r="F47" s="27" t="n"/>
      <c r="G47" s="27" t="n"/>
      <c r="H47" s="27" t="n"/>
      <c r="I47" s="15" t="n"/>
      <c r="J47" s="15" t="n"/>
      <c r="K47" s="15" t="n"/>
      <c r="L47" s="15" t="n"/>
      <c r="M47" s="15" t="n"/>
      <c r="N47" s="27" t="n"/>
    </row>
    <row r="48">
      <c r="A48" s="15" t="n"/>
      <c r="B48" s="27" t="n"/>
      <c r="C48" s="15" t="n"/>
      <c r="D48" s="15" t="n"/>
      <c r="E48" s="27" t="n"/>
      <c r="F48" s="27" t="n"/>
      <c r="G48" s="27" t="n"/>
      <c r="H48" s="27" t="n"/>
      <c r="I48" s="15" t="n"/>
      <c r="J48" s="15" t="n"/>
      <c r="K48" s="15" t="n"/>
      <c r="L48" s="15" t="n"/>
      <c r="M48" s="15" t="n"/>
      <c r="N48" s="27" t="n"/>
    </row>
    <row r="49">
      <c r="A49" s="15" t="n"/>
      <c r="B49" s="27" t="n"/>
      <c r="C49" s="15" t="n"/>
      <c r="D49" s="15" t="n"/>
      <c r="E49" s="27" t="n"/>
      <c r="F49" s="27" t="n"/>
      <c r="G49" s="27" t="n"/>
      <c r="H49" s="27" t="n"/>
      <c r="I49" s="15" t="n"/>
      <c r="J49" s="15" t="n"/>
      <c r="K49" s="15" t="n"/>
      <c r="L49" s="15" t="n"/>
      <c r="M49" s="15" t="n"/>
      <c r="N49" s="27" t="n"/>
    </row>
    <row r="50">
      <c r="A50" s="15" t="n"/>
      <c r="B50" s="27" t="n"/>
      <c r="C50" s="15" t="n"/>
      <c r="D50" s="15" t="n"/>
      <c r="E50" s="27" t="n"/>
      <c r="F50" s="27" t="n"/>
      <c r="G50" s="27" t="n"/>
      <c r="H50" s="27" t="n"/>
      <c r="I50" s="15" t="n"/>
      <c r="J50" s="15" t="n"/>
      <c r="K50" s="15" t="n"/>
      <c r="L50" s="15" t="n"/>
      <c r="M50" s="15" t="n"/>
      <c r="N50" s="27" t="n"/>
    </row>
    <row r="51">
      <c r="A51" s="15" t="n"/>
      <c r="B51" s="27" t="n"/>
      <c r="C51" s="15" t="n"/>
      <c r="D51" s="15" t="n"/>
      <c r="E51" s="27" t="n"/>
      <c r="F51" s="27" t="n"/>
      <c r="G51" s="27" t="n"/>
      <c r="H51" s="27" t="n"/>
      <c r="I51" s="15" t="n"/>
      <c r="J51" s="15" t="n"/>
      <c r="K51" s="15" t="n"/>
      <c r="L51" s="15" t="n"/>
      <c r="M51" s="15" t="n"/>
      <c r="N51" s="27" t="n"/>
    </row>
    <row r="52">
      <c r="A52" s="15" t="n"/>
      <c r="B52" s="27" t="n"/>
      <c r="C52" s="15" t="n"/>
      <c r="D52" s="15" t="n"/>
      <c r="E52" s="27" t="n"/>
      <c r="F52" s="27" t="n"/>
      <c r="G52" s="27" t="n"/>
      <c r="H52" s="27" t="n"/>
      <c r="I52" s="15" t="n"/>
      <c r="J52" s="15" t="n"/>
      <c r="K52" s="15" t="n"/>
      <c r="L52" s="15" t="n"/>
      <c r="M52" s="15" t="n"/>
      <c r="N52" s="27" t="n"/>
    </row>
    <row r="53">
      <c r="A53" s="15" t="n"/>
      <c r="B53" s="27" t="n"/>
      <c r="C53" s="15" t="n"/>
      <c r="D53" s="15" t="n"/>
      <c r="E53" s="27" t="n"/>
      <c r="F53" s="27" t="n"/>
      <c r="G53" s="27" t="n"/>
      <c r="H53" s="27" t="n"/>
      <c r="I53" s="15" t="n"/>
      <c r="J53" s="15" t="n"/>
      <c r="K53" s="15" t="n"/>
      <c r="L53" s="15" t="n"/>
      <c r="M53" s="15" t="n"/>
      <c r="N53" s="27" t="n"/>
    </row>
    <row r="54">
      <c r="A54" s="15" t="n"/>
      <c r="B54" s="27" t="n"/>
      <c r="C54" s="15" t="n"/>
      <c r="D54" s="15" t="n"/>
      <c r="E54" s="27" t="n"/>
      <c r="F54" s="27" t="n"/>
      <c r="G54" s="27" t="n"/>
      <c r="H54" s="27" t="n"/>
      <c r="I54" s="15" t="n"/>
      <c r="J54" s="15" t="n"/>
      <c r="K54" s="15" t="n"/>
      <c r="L54" s="15" t="n"/>
      <c r="M54" s="15" t="n"/>
      <c r="N54" s="27" t="n"/>
    </row>
    <row r="55">
      <c r="A55" s="15" t="n"/>
      <c r="B55" s="27" t="n"/>
      <c r="C55" s="15" t="n"/>
      <c r="D55" s="15" t="n"/>
      <c r="E55" s="27" t="n"/>
      <c r="F55" s="27" t="n"/>
      <c r="G55" s="27" t="n"/>
      <c r="H55" s="27" t="n"/>
      <c r="I55" s="15" t="n"/>
      <c r="J55" s="15" t="n"/>
      <c r="K55" s="15" t="n"/>
      <c r="L55" s="15" t="n"/>
      <c r="M55" s="15" t="n"/>
      <c r="N55" s="27" t="n"/>
    </row>
    <row r="56">
      <c r="A56" s="15" t="n"/>
      <c r="B56" s="27" t="n"/>
      <c r="C56" s="15" t="n"/>
      <c r="D56" s="15" t="n"/>
      <c r="E56" s="27" t="n"/>
      <c r="F56" s="27" t="n"/>
      <c r="G56" s="27" t="n"/>
      <c r="H56" s="27" t="n"/>
      <c r="I56" s="15" t="n"/>
      <c r="J56" s="15" t="n"/>
      <c r="K56" s="15" t="n"/>
      <c r="L56" s="15" t="n"/>
      <c r="M56" s="15" t="n"/>
      <c r="N56" s="27" t="n"/>
    </row>
    <row r="57">
      <c r="A57" s="15" t="n"/>
      <c r="B57" s="27" t="n"/>
      <c r="C57" s="15" t="n"/>
      <c r="D57" s="15" t="n"/>
      <c r="E57" s="27" t="n"/>
      <c r="F57" s="27" t="n"/>
      <c r="G57" s="27" t="n"/>
      <c r="H57" s="27" t="n"/>
      <c r="I57" s="15" t="n"/>
      <c r="J57" s="15" t="n"/>
      <c r="K57" s="15" t="n"/>
      <c r="L57" s="15" t="n"/>
      <c r="M57" s="15" t="n"/>
      <c r="N57" s="27" t="n"/>
    </row>
    <row r="58">
      <c r="A58" s="15" t="n"/>
      <c r="B58" s="27" t="n"/>
      <c r="C58" s="15" t="n"/>
      <c r="D58" s="15" t="n"/>
      <c r="E58" s="27" t="n"/>
      <c r="F58" s="27" t="n"/>
      <c r="G58" s="27" t="n"/>
      <c r="H58" s="27" t="n"/>
      <c r="I58" s="15" t="n"/>
      <c r="J58" s="15" t="n"/>
      <c r="K58" s="15" t="n"/>
      <c r="L58" s="15" t="n"/>
      <c r="M58" s="15" t="n"/>
      <c r="N58" s="27" t="n"/>
    </row>
    <row r="59">
      <c r="A59" s="15" t="n"/>
      <c r="B59" s="27" t="n"/>
      <c r="C59" s="15" t="n"/>
      <c r="D59" s="15" t="n"/>
      <c r="E59" s="27" t="n"/>
      <c r="F59" s="27" t="n"/>
      <c r="G59" s="27" t="n"/>
      <c r="H59" s="27" t="n"/>
      <c r="I59" s="15" t="n"/>
      <c r="J59" s="15" t="n"/>
      <c r="K59" s="15" t="n"/>
      <c r="L59" s="15" t="n"/>
      <c r="M59" s="15" t="n"/>
      <c r="N59" s="27" t="n"/>
    </row>
    <row r="60">
      <c r="A60" s="15" t="n"/>
      <c r="B60" s="27" t="n"/>
      <c r="C60" s="15" t="n"/>
      <c r="D60" s="15" t="n"/>
      <c r="E60" s="27" t="n"/>
      <c r="F60" s="27" t="n"/>
      <c r="G60" s="27" t="n"/>
      <c r="H60" s="27" t="n"/>
      <c r="I60" s="15" t="n"/>
      <c r="J60" s="15" t="n"/>
      <c r="K60" s="15" t="n"/>
      <c r="L60" s="15" t="n"/>
      <c r="M60" s="15" t="n"/>
      <c r="N60" s="27" t="n"/>
    </row>
    <row r="61">
      <c r="A61" s="15" t="n"/>
      <c r="B61" s="27" t="n"/>
      <c r="C61" s="15" t="n"/>
      <c r="D61" s="15" t="n"/>
      <c r="E61" s="27" t="n"/>
      <c r="F61" s="27" t="n"/>
      <c r="G61" s="27" t="n"/>
      <c r="H61" s="27" t="n"/>
      <c r="I61" s="15" t="n"/>
      <c r="J61" s="15" t="n"/>
      <c r="K61" s="15" t="n"/>
      <c r="L61" s="15" t="n"/>
      <c r="M61" s="15" t="n"/>
      <c r="N61" s="27" t="n"/>
    </row>
    <row r="62">
      <c r="A62" s="15" t="n"/>
      <c r="B62" s="27" t="n"/>
      <c r="C62" s="15" t="n"/>
      <c r="D62" s="15" t="n"/>
      <c r="E62" s="27" t="n"/>
      <c r="F62" s="27" t="n"/>
      <c r="G62" s="27" t="n"/>
      <c r="H62" s="27" t="n"/>
      <c r="I62" s="15" t="n"/>
      <c r="J62" s="15" t="n"/>
      <c r="K62" s="15" t="n"/>
      <c r="L62" s="15" t="n"/>
      <c r="M62" s="15" t="n"/>
      <c r="N62" s="27" t="n"/>
    </row>
  </sheetData>
  <autoFilter ref="A12:N12"/>
  <mergeCells count="16">
    <mergeCell ref="H11:H12"/>
    <mergeCell ref="K11:L11"/>
    <mergeCell ref="N11:N12"/>
    <mergeCell ref="B4:N4"/>
    <mergeCell ref="I11:J11"/>
    <mergeCell ref="M11:M12"/>
    <mergeCell ref="B11:B12"/>
    <mergeCell ref="C11:C12"/>
    <mergeCell ref="D11:D12"/>
    <mergeCell ref="G11:G12"/>
    <mergeCell ref="E11:E12"/>
    <mergeCell ref="B3:N3"/>
    <mergeCell ref="B2:N2"/>
    <mergeCell ref="A11:A12"/>
    <mergeCell ref="F11:F12"/>
    <mergeCell ref="A1:N1"/>
  </mergeCells>
  <conditionalFormatting sqref="I13:I1000">
    <cfRule type="cellIs" priority="1" operator="equal" dxfId="0" stopIfTrue="0">
      <formula>"Pass"</formula>
    </cfRule>
    <cfRule type="cellIs" priority="2" operator="equal" dxfId="1" stopIfTrue="0">
      <formula>"Fail"</formula>
    </cfRule>
    <cfRule type="cellIs" priority="3" operator="equal" dxfId="2" stopIfTrue="0">
      <formula>"Blocked"</formula>
    </cfRule>
    <cfRule type="cellIs" priority="4" operator="equal" dxfId="3" stopIfTrue="0">
      <formula>"N/A"</formula>
    </cfRule>
    <cfRule type="cellIs" priority="5" operator="equal" dxfId="4" stopIfTrue="0">
      <formula>"Not-Run"</formula>
    </cfRule>
  </conditionalFormatting>
  <conditionalFormatting sqref="K13:K1000">
    <cfRule type="cellIs" priority="11" operator="equal" dxfId="0" stopIfTrue="0">
      <formula>"Pass"</formula>
    </cfRule>
    <cfRule type="cellIs" priority="12" operator="equal" dxfId="1" stopIfTrue="0">
      <formula>"Fail"</formula>
    </cfRule>
    <cfRule type="cellIs" priority="13" operator="equal" dxfId="2" stopIfTrue="0">
      <formula>"Blocked"</formula>
    </cfRule>
    <cfRule type="cellIs" priority="14" operator="equal" dxfId="3" stopIfTrue="0">
      <formula>"N/A"</formula>
    </cfRule>
    <cfRule type="cellIs" priority="15" operator="equal" dxfId="4" stopIfTrue="0">
      <formula>"Not-Run"</formula>
    </cfRule>
  </conditionalFormatting>
  <conditionalFormatting sqref="J13:J1000">
    <cfRule type="cellIs" priority="21" operator="equal" dxfId="1" stopIfTrue="0">
      <formula>"Open"</formula>
    </cfRule>
    <cfRule type="cellIs" priority="22" operator="equal" dxfId="2" stopIfTrue="0">
      <formula>"In-Progress"</formula>
    </cfRule>
    <cfRule type="cellIs" priority="23" operator="equal" dxfId="1" stopIfTrue="0">
      <formula>"Re-Open"</formula>
    </cfRule>
    <cfRule type="cellIs" priority="24" operator="equal" dxfId="0" stopIfTrue="0">
      <formula>"Closed"</formula>
    </cfRule>
    <cfRule type="cellIs" priority="25" operator="equal" dxfId="0" stopIfTrue="0">
      <formula>"Resolved"</formula>
    </cfRule>
  </conditionalFormatting>
  <conditionalFormatting sqref="L13:L1000">
    <cfRule type="cellIs" priority="31" operator="equal" dxfId="1" stopIfTrue="0">
      <formula>"Open"</formula>
    </cfRule>
    <cfRule type="cellIs" priority="32" operator="equal" dxfId="2" stopIfTrue="0">
      <formula>"In-Progress"</formula>
    </cfRule>
    <cfRule type="cellIs" priority="33" operator="equal" dxfId="1" stopIfTrue="0">
      <formula>"Re-Open"</formula>
    </cfRule>
    <cfRule type="cellIs" priority="34" operator="equal" dxfId="0" stopIfTrue="0">
      <formula>"Closed"</formula>
    </cfRule>
    <cfRule type="cellIs" priority="35" operator="equal" dxfId="0" stopIfTrue="0">
      <formula>"Resolved"</formula>
    </cfRule>
  </conditionalFormatting>
  <conditionalFormatting sqref="C13:C1000">
    <cfRule type="cellIs" priority="41" operator="equal" dxfId="5" stopIfTrue="0">
      <formula>"Rất cao"</formula>
    </cfRule>
    <cfRule type="cellIs" priority="42" operator="equal" dxfId="6" stopIfTrue="0">
      <formula>"Cao"</formula>
    </cfRule>
    <cfRule type="cellIs" priority="43" operator="equal" dxfId="7" stopIfTrue="0">
      <formula>"Trung bình"</formula>
    </cfRule>
    <cfRule type="cellIs" priority="44" operator="equal" dxfId="8" stopIfTrue="0">
      <formula>"Thấp"</formula>
    </cfRule>
  </conditionalFormatting>
  <conditionalFormatting sqref="D13:D1000">
    <cfRule type="cellIs" priority="51" operator="equal" dxfId="5" stopIfTrue="0">
      <formula>"Blocker"</formula>
    </cfRule>
    <cfRule type="cellIs" priority="52" operator="equal" dxfId="6" stopIfTrue="0">
      <formula>"Major"</formula>
    </cfRule>
    <cfRule type="cellIs" priority="53" operator="equal" dxfId="7" stopIfTrue="0">
      <formula>"Minor"</formula>
    </cfRule>
    <cfRule type="cellIs" priority="54" operator="equal" dxfId="9" stopIfTrue="0">
      <formula>"Trivial"</formula>
    </cfRule>
  </conditionalFormatting>
  <dataValidations count="4">
    <dataValidation sqref="C13:C1000" showDropDown="0" showInputMessage="0" showErrorMessage="0" allowBlank="1" type="list">
      <formula1>'_Tra cứu'!$E$2:$E$20</formula1>
    </dataValidation>
    <dataValidation sqref="D13:D1000" showDropDown="0" showInputMessage="0" showErrorMessage="0" allowBlank="1" type="list">
      <formula1>'_Tra cứu'!$F$2:$F$20</formula1>
    </dataValidation>
    <dataValidation sqref="I13:I1000 K13:K1000" showDropDown="0" showInputMessage="0" showErrorMessage="0" allowBlank="1" type="list">
      <formula1>'_Tra cứu'!$G$2:$G$20</formula1>
    </dataValidation>
    <dataValidation sqref="J13:J1000 L13:L1000" showDropDown="0" showInputMessage="0" showErrorMessage="0" allowBlank="1" type="list">
      <formula1>'_Tra cứu'!$H$2:$H$20</formula1>
    </dataValidation>
  </dataValidations>
  <printOptions horizontalCentered="1"/>
  <pageMargins left="0.4" right="0.4" top="0.5" bottom="0.5" header="0.2" footer="0.2"/>
  <pageSetup orientation="landscape" paperSize="9" fitToHeight="0" fitToWidth="1"/>
  <headerFooter>
    <oddHeader/>
    <oddFooter>&amp;C&amp;"Times New Roman"&amp;9 Trang &amp;P / &amp;N</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B2:E26"/>
  <sheetViews>
    <sheetView workbookViewId="0">
      <selection activeCell="A1" sqref="A1"/>
    </sheetView>
  </sheetViews>
  <sheetFormatPr baseColWidth="8" defaultRowHeight="15"/>
  <cols>
    <col width="4" customWidth="1" min="1" max="1"/>
    <col width="30" customWidth="1" min="2" max="2"/>
    <col width="40" customWidth="1" min="3" max="3"/>
    <col width="22" customWidth="1" min="4" max="4"/>
    <col width="22" customWidth="1" min="5" max="5"/>
  </cols>
  <sheetData>
    <row r="2" ht="30" customHeight="1">
      <c r="B2" s="13" t="inlineStr">
        <is>
          <t>THƯ VIỆN DỮ LIỆU TEST</t>
        </is>
      </c>
    </row>
    <row r="4">
      <c r="B4" s="4" t="inlineStr">
        <is>
          <t>Tài khoản test</t>
        </is>
      </c>
    </row>
    <row r="5">
      <c r="B5" s="7" t="inlineStr">
        <is>
          <t>Tên đăng nhập</t>
        </is>
      </c>
      <c r="C5" s="7" t="inlineStr">
        <is>
          <t>Mật khẩu</t>
        </is>
      </c>
      <c r="D5" s="7" t="inlineStr">
        <is>
          <t>Vai trò</t>
        </is>
      </c>
      <c r="E5" s="7" t="inlineStr">
        <is>
          <t>Phạm vi</t>
        </is>
      </c>
    </row>
    <row r="6">
      <c r="B6" s="6" t="inlineStr">
        <is>
          <t>admin@test.local</t>
        </is>
      </c>
      <c r="C6" s="6" t="inlineStr">
        <is>
          <t>Test@123</t>
        </is>
      </c>
      <c r="D6" s="6" t="inlineStr">
        <is>
          <t>ADMIN</t>
        </is>
      </c>
      <c r="E6" s="6" t="inlineStr">
        <is>
          <t>Toàn hệ thống</t>
        </is>
      </c>
    </row>
    <row r="7">
      <c r="B7" s="6" t="inlineStr">
        <is>
          <t>hqdk01@test.local</t>
        </is>
      </c>
      <c r="C7" s="6" t="inlineStr">
        <is>
          <t>Test@123</t>
        </is>
      </c>
      <c r="D7" s="6" t="inlineStr">
        <is>
          <t>HQDK</t>
        </is>
      </c>
      <c r="E7" s="6" t="inlineStr">
        <is>
          <t>Cán bộ HQ đăng ký</t>
        </is>
      </c>
    </row>
    <row r="8">
      <c r="B8" s="6" t="inlineStr">
        <is>
          <t>kiemhoa01@test.local</t>
        </is>
      </c>
      <c r="C8" s="6" t="inlineStr">
        <is>
          <t>Test@123</t>
        </is>
      </c>
      <c r="D8" s="6" t="inlineStr">
        <is>
          <t>KIEM_HOA</t>
        </is>
      </c>
      <c r="E8" s="6" t="inlineStr">
        <is>
          <t>Cán bộ kiểm hóa</t>
        </is>
      </c>
    </row>
    <row r="9">
      <c r="B9" s="6" t="inlineStr">
        <is>
          <t>phancong01@test.local</t>
        </is>
      </c>
      <c r="C9" s="6" t="inlineStr">
        <is>
          <t>Test@123</t>
        </is>
      </c>
      <c r="D9" s="6" t="inlineStr">
        <is>
          <t>PHAN_CONG</t>
        </is>
      </c>
      <c r="E9" s="6" t="inlineStr">
        <is>
          <t>Cán bộ phân công</t>
        </is>
      </c>
    </row>
    <row r="10">
      <c r="B10" s="6" t="inlineStr">
        <is>
          <t>lanhdao01@test.local</t>
        </is>
      </c>
      <c r="C10" s="6" t="inlineStr">
        <is>
          <t>Test@123</t>
        </is>
      </c>
      <c r="D10" s="6" t="inlineStr">
        <is>
          <t>LANH_DAO</t>
        </is>
      </c>
      <c r="E10" s="6" t="inlineStr">
        <is>
          <t>Lãnh đạo HQ</t>
        </is>
      </c>
    </row>
    <row r="11">
      <c r="B11" s="6" t="inlineStr">
        <is>
          <t>giamsat01@test.local</t>
        </is>
      </c>
      <c r="C11" s="6" t="inlineStr">
        <is>
          <t>Test@123</t>
        </is>
      </c>
      <c r="D11" s="6" t="inlineStr">
        <is>
          <t>GIAM_SAT</t>
        </is>
      </c>
      <c r="E11" s="6" t="inlineStr">
        <is>
          <t>Giám sát KVGS</t>
        </is>
      </c>
    </row>
    <row r="13">
      <c r="B13" s="4" t="inlineStr">
        <is>
          <t>Boundary value templates</t>
        </is>
      </c>
    </row>
    <row r="14">
      <c r="B14" s="7" t="inlineStr">
        <is>
          <t>Trường</t>
        </is>
      </c>
      <c r="C14" s="7" t="inlineStr">
        <is>
          <t>Giá trị min hợp lệ</t>
        </is>
      </c>
      <c r="D14" s="7" t="inlineStr">
        <is>
          <t>Giá trị max hợp lệ</t>
        </is>
      </c>
      <c r="E14" s="7" t="inlineStr">
        <is>
          <t>Giá trị vi phạm</t>
        </is>
      </c>
    </row>
    <row r="15">
      <c r="B15" s="6" t="inlineStr">
        <is>
          <t>Tên hồ sơ</t>
        </is>
      </c>
      <c r="C15" s="6" t="inlineStr">
        <is>
          <t>1 ký tự</t>
        </is>
      </c>
      <c r="D15" s="6" t="inlineStr">
        <is>
          <t>200 ký tự</t>
        </is>
      </c>
      <c r="E15" s="6" t="inlineStr">
        <is>
          <t>0 ký tự / 201 ký tự</t>
        </is>
      </c>
    </row>
    <row r="16">
      <c r="B16" s="6" t="inlineStr">
        <is>
          <t>Mã hồ sơ</t>
        </is>
      </c>
      <c r="C16" s="6" t="inlineStr">
        <is>
          <t>Không có space, A-Z 0-9</t>
        </is>
      </c>
      <c r="D16" s="6" t="inlineStr">
        <is>
          <t>20 ký tự</t>
        </is>
      </c>
      <c r="E16" s="6" t="inlineStr">
        <is>
          <t>Có space / &gt;20 ký tự</t>
        </is>
      </c>
    </row>
    <row r="17">
      <c r="B17" s="6" t="inlineStr">
        <is>
          <t>Số tiền</t>
        </is>
      </c>
      <c r="C17" s="6" t="inlineStr">
        <is>
          <t>0 VND</t>
        </is>
      </c>
      <c r="D17" s="6" t="inlineStr">
        <is>
          <t>999,999,999,999 VND</t>
        </is>
      </c>
      <c r="E17" s="6" t="inlineStr">
        <is>
          <t>Số âm / &gt;max</t>
        </is>
      </c>
    </row>
    <row r="18">
      <c r="B18" s="6" t="inlineStr">
        <is>
          <t>Email</t>
        </is>
      </c>
      <c r="C18" s="6" t="inlineStr">
        <is>
          <t>1 char + @ + domain</t>
        </is>
      </c>
      <c r="D18" s="6" t="inlineStr">
        <is>
          <t>RFC 5321</t>
        </is>
      </c>
      <c r="E18" s="6" t="inlineStr">
        <is>
          <t>Không @ / sai domain</t>
        </is>
      </c>
    </row>
    <row r="19">
      <c r="B19" s="6" t="inlineStr">
        <is>
          <t>Ngày</t>
        </is>
      </c>
      <c r="C19" s="6" t="inlineStr">
        <is>
          <t>01/01/1900</t>
        </is>
      </c>
      <c r="D19" s="6" t="inlineStr">
        <is>
          <t>31/12/9999</t>
        </is>
      </c>
      <c r="E19" s="6" t="inlineStr">
        <is>
          <t>32/13/yyyy / chữ</t>
        </is>
      </c>
    </row>
    <row r="21">
      <c r="B21" s="4" t="inlineStr">
        <is>
          <t>Tiếng Việt có dấu — test strings</t>
        </is>
      </c>
    </row>
    <row r="22">
      <c r="B22" s="7" t="inlineStr">
        <is>
          <t>Loại</t>
        </is>
      </c>
      <c r="C22" s="7" t="inlineStr">
        <is>
          <t>Sample</t>
        </is>
      </c>
    </row>
    <row r="23">
      <c r="B23" s="6" t="inlineStr">
        <is>
          <t>NFC normalized</t>
        </is>
      </c>
      <c r="C23" s="6" t="inlineStr">
        <is>
          <t>Nguyễn Văn Đỗ</t>
        </is>
      </c>
    </row>
    <row r="24">
      <c r="B24" s="6" t="inlineStr">
        <is>
          <t>NFD decomposed</t>
        </is>
      </c>
      <c r="C24" s="6" t="inlineStr">
        <is>
          <t>Nguyễn Văn Đỗ (decomp)</t>
        </is>
      </c>
    </row>
    <row r="25">
      <c r="B25" s="6" t="inlineStr">
        <is>
          <t>Mixed</t>
        </is>
      </c>
      <c r="C25" s="6" t="inlineStr">
        <is>
          <t>ABC nguyễn xyz Lê 123</t>
        </is>
      </c>
    </row>
    <row r="26">
      <c r="B26" s="6" t="inlineStr">
        <is>
          <t>Special chars</t>
        </is>
      </c>
      <c r="C26" s="6" t="inlineStr">
        <is>
          <t>Q.1, TP.HCM — đường Lê Lợi/Bến Nghé</t>
        </is>
      </c>
    </row>
  </sheetData>
  <mergeCells count="4">
    <mergeCell ref="B21:E21"/>
    <mergeCell ref="B13:E13"/>
    <mergeCell ref="B2:E2"/>
    <mergeCell ref="B4:E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28" t="inlineStr">
        <is>
          <t>Index</t>
        </is>
      </c>
      <c r="B1" s="28" t="inlineStr">
        <is>
          <t>Modules</t>
        </is>
      </c>
      <c r="C1" s="28" t="inlineStr">
        <is>
          <t>TestTypes</t>
        </is>
      </c>
      <c r="D1" s="28" t="inlineStr">
        <is>
          <t>Roles</t>
        </is>
      </c>
      <c r="E1" s="28" t="inlineStr">
        <is>
          <t>Priorities</t>
        </is>
      </c>
      <c r="F1" s="28" t="inlineStr">
        <is>
          <t>Severities</t>
        </is>
      </c>
      <c r="G1" s="28" t="inlineStr">
        <is>
          <t>RunStatuses</t>
        </is>
      </c>
      <c r="H1" s="28" t="inlineStr">
        <is>
          <t>DefectStatuses</t>
        </is>
      </c>
    </row>
    <row r="2">
      <c r="B2" t="inlineStr">
        <is>
          <t>m01</t>
        </is>
      </c>
      <c r="C2" t="inlineStr">
        <is>
          <t>Smoke</t>
        </is>
      </c>
      <c r="E2" t="inlineStr">
        <is>
          <t>Rất cao</t>
        </is>
      </c>
      <c r="F2" t="inlineStr">
        <is>
          <t>Blocker</t>
        </is>
      </c>
      <c r="G2" t="inlineStr">
        <is>
          <t>Pass</t>
        </is>
      </c>
      <c r="H2" t="inlineStr">
        <is>
          <t>Open</t>
        </is>
      </c>
      <c r="I2" t="inlineStr">
        <is>
          <t>Open</t>
        </is>
      </c>
    </row>
    <row r="3">
      <c r="B3" t="inlineStr">
        <is>
          <t>m02</t>
        </is>
      </c>
      <c r="C3" t="inlineStr">
        <is>
          <t>Functional</t>
        </is>
      </c>
      <c r="E3" t="inlineStr">
        <is>
          <t>Cao</t>
        </is>
      </c>
      <c r="F3" t="inlineStr">
        <is>
          <t>Major</t>
        </is>
      </c>
      <c r="G3" t="inlineStr">
        <is>
          <t>Fail</t>
        </is>
      </c>
      <c r="H3" t="inlineStr">
        <is>
          <t>In-Progress</t>
        </is>
      </c>
      <c r="I3" t="inlineStr">
        <is>
          <t>Assigned</t>
        </is>
      </c>
    </row>
    <row r="4">
      <c r="B4" t="inlineStr">
        <is>
          <t>m03</t>
        </is>
      </c>
      <c r="C4" t="inlineStr">
        <is>
          <t>Regression</t>
        </is>
      </c>
      <c r="E4" t="inlineStr">
        <is>
          <t>Trung bình</t>
        </is>
      </c>
      <c r="F4" t="inlineStr">
        <is>
          <t>Minor</t>
        </is>
      </c>
      <c r="G4" t="inlineStr">
        <is>
          <t>Blocked</t>
        </is>
      </c>
      <c r="H4" t="inlineStr">
        <is>
          <t>Closed</t>
        </is>
      </c>
      <c r="I4" t="inlineStr">
        <is>
          <t>In-Progress</t>
        </is>
      </c>
    </row>
    <row r="5">
      <c r="B5" t="inlineStr">
        <is>
          <t>m04</t>
        </is>
      </c>
      <c r="C5" t="inlineStr">
        <is>
          <t>Boundary</t>
        </is>
      </c>
      <c r="E5" t="inlineStr">
        <is>
          <t>Thấp</t>
        </is>
      </c>
      <c r="F5" t="inlineStr">
        <is>
          <t>Trivial</t>
        </is>
      </c>
      <c r="G5" t="inlineStr">
        <is>
          <t>Skip</t>
        </is>
      </c>
      <c r="H5" t="inlineStr">
        <is>
          <t>Re-Open</t>
        </is>
      </c>
      <c r="I5" t="inlineStr">
        <is>
          <t>Fixed</t>
        </is>
      </c>
    </row>
    <row r="6">
      <c r="B6" t="inlineStr">
        <is>
          <t>m05</t>
        </is>
      </c>
      <c r="C6" t="inlineStr">
        <is>
          <t>Negative</t>
        </is>
      </c>
      <c r="G6" t="inlineStr">
        <is>
          <t>Not-Run</t>
        </is>
      </c>
      <c r="H6" t="inlineStr">
        <is>
          <t>Resolved</t>
        </is>
      </c>
      <c r="I6" t="inlineStr">
        <is>
          <t>Verified</t>
        </is>
      </c>
    </row>
    <row r="7">
      <c r="B7" t="inlineStr">
        <is>
          <t>m06</t>
        </is>
      </c>
      <c r="C7" t="inlineStr">
        <is>
          <t>Security</t>
        </is>
      </c>
      <c r="G7" t="inlineStr">
        <is>
          <t>N/A</t>
        </is>
      </c>
      <c r="I7" t="inlineStr">
        <is>
          <t>Closed</t>
        </is>
      </c>
    </row>
    <row r="8">
      <c r="B8" t="inlineStr">
        <is>
          <t>m07</t>
        </is>
      </c>
      <c r="C8" t="inlineStr">
        <is>
          <t>Performance</t>
        </is>
      </c>
      <c r="I8" t="inlineStr">
        <is>
          <t>Reopened</t>
        </is>
      </c>
    </row>
    <row r="9">
      <c r="B9" t="inlineStr">
        <is>
          <t>m08</t>
        </is>
      </c>
      <c r="C9" t="inlineStr">
        <is>
          <t>UX</t>
        </is>
      </c>
      <c r="I9" t="inlineStr">
        <is>
          <t>Won't Fix</t>
        </is>
      </c>
    </row>
    <row r="10">
      <c r="B10" t="inlineStr">
        <is>
          <t>m09</t>
        </is>
      </c>
      <c r="C10" t="inlineStr">
        <is>
          <t>Compatibility</t>
        </is>
      </c>
    </row>
    <row r="11">
      <c r="B11" t="inlineStr">
        <is>
          <t>m10</t>
        </is>
      </c>
      <c r="C11" t="inlineStr">
        <is>
          <t>Audit</t>
        </is>
      </c>
    </row>
    <row r="12">
      <c r="B12" t="inlineStr">
        <is>
          <t>m11</t>
        </is>
      </c>
    </row>
    <row r="13">
      <c r="B13" t="inlineStr">
        <is>
          <t>m12</t>
        </is>
      </c>
    </row>
    <row r="14">
      <c r="B14" t="inlineStr">
        <is>
          <t>m13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2026-04-27T16:52:07Z</dcterms:created>
  <dcterms:modified xmlns:dcterms="http://purl.org/dc/terms/" xmlns:xsi="http://www.w3.org/2001/XMLSchema-instance" xsi:type="dcterms:W3CDTF">2026-04-27T16:52:07Z</dcterms:modified>
</cp:coreProperties>
</file>